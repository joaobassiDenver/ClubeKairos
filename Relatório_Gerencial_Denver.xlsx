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.carpi_denvercon\Downloads\"/>
    </mc:Choice>
  </mc:AlternateContent>
  <xr:revisionPtr revIDLastSave="0" documentId="13_ncr:1_{9AFCD757-A8BE-409E-9ABD-47CFB51E85A4}" xr6:coauthVersionLast="47" xr6:coauthVersionMax="47" xr10:uidLastSave="{00000000-0000-0000-0000-000000000000}"/>
  <bookViews>
    <workbookView xWindow="-28935" yWindow="-135" windowWidth="29070" windowHeight="15750" activeTab="4" xr2:uid="{EAECE1ED-A44F-408D-B68A-B04E867498A7}"/>
  </bookViews>
  <sheets>
    <sheet name="Historico_Cota" sheetId="7" r:id="rId1"/>
    <sheet name="Historico_Cota_old" sheetId="1" state="hidden" r:id="rId2"/>
    <sheet name="Cotistas" sheetId="2" r:id="rId3"/>
    <sheet name="ID Cotistas" sheetId="9" state="hidden" r:id="rId4"/>
    <sheet name="Ativos" sheetId="3" r:id="rId5"/>
    <sheet name="Movimentos" sheetId="8" state="hidden" r:id="rId6"/>
    <sheet name="Rent_Mensal" sheetId="5" r:id="rId7"/>
    <sheet name="Selic" sheetId="6" state="hidden" r:id="rId8"/>
    <sheet name="Cadastro_Acoes" sheetId="4" state="hidden" r:id="rId9"/>
  </sheets>
  <definedNames>
    <definedName name="_xlnm._FilterDatabase" localSheetId="4" hidden="1">Ativos!$A$1:$G$45</definedName>
    <definedName name="_xlnm._FilterDatabase" localSheetId="0" hidden="1">Historico_Cota!$A$1:$S$1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4" i="3" l="1"/>
  <c r="E23" i="2"/>
  <c r="E19" i="2"/>
  <c r="C188" i="3"/>
  <c r="E190" i="3"/>
  <c r="G190" i="3"/>
  <c r="D190" i="3" s="1"/>
  <c r="B9" i="5"/>
  <c r="B12" i="5" s="1"/>
  <c r="C8" i="5"/>
  <c r="C9" i="5" s="1"/>
  <c r="C11" i="5" s="1"/>
  <c r="G183" i="3"/>
  <c r="D183" i="3" s="1"/>
  <c r="A306" i="7"/>
  <c r="A307" i="7" s="1"/>
  <c r="A319" i="7"/>
  <c r="A320" i="7" s="1"/>
  <c r="A321" i="7" s="1"/>
  <c r="A322" i="7" s="1"/>
  <c r="E194" i="3"/>
  <c r="E193" i="3"/>
  <c r="E192" i="3"/>
  <c r="E191" i="3"/>
  <c r="E189" i="3"/>
  <c r="E188" i="3"/>
  <c r="E187" i="3"/>
  <c r="E186" i="3"/>
  <c r="E185" i="3"/>
  <c r="E184" i="3"/>
  <c r="E183" i="3"/>
  <c r="E34" i="2"/>
  <c r="E33" i="2"/>
  <c r="E32" i="2"/>
  <c r="E31" i="2"/>
  <c r="E30" i="2"/>
  <c r="E29" i="2"/>
  <c r="E28" i="2"/>
  <c r="E27" i="2"/>
  <c r="E26" i="2"/>
  <c r="E25" i="2"/>
  <c r="E24" i="2"/>
  <c r="E353" i="7"/>
  <c r="F353" i="7"/>
  <c r="M353" i="7" s="1"/>
  <c r="G353" i="7"/>
  <c r="H353" i="7"/>
  <c r="I353" i="7"/>
  <c r="L353" i="7"/>
  <c r="E354" i="7"/>
  <c r="F354" i="7"/>
  <c r="G354" i="7"/>
  <c r="H354" i="7"/>
  <c r="I354" i="7"/>
  <c r="L354" i="7"/>
  <c r="E355" i="7"/>
  <c r="F355" i="7"/>
  <c r="G355" i="7"/>
  <c r="H355" i="7"/>
  <c r="I355" i="7"/>
  <c r="L355" i="7"/>
  <c r="E356" i="7"/>
  <c r="F356" i="7"/>
  <c r="G356" i="7"/>
  <c r="H356" i="7"/>
  <c r="I356" i="7"/>
  <c r="L356" i="7"/>
  <c r="E357" i="7"/>
  <c r="F357" i="7"/>
  <c r="G357" i="7"/>
  <c r="H357" i="7"/>
  <c r="I357" i="7"/>
  <c r="L357" i="7"/>
  <c r="L358" i="7" s="1"/>
  <c r="L359" i="7" s="1"/>
  <c r="L360" i="7" s="1"/>
  <c r="L361" i="7" s="1"/>
  <c r="L362" i="7" s="1"/>
  <c r="L363" i="7" s="1"/>
  <c r="L364" i="7" s="1"/>
  <c r="L365" i="7" s="1"/>
  <c r="L366" i="7" s="1"/>
  <c r="E358" i="7"/>
  <c r="F358" i="7"/>
  <c r="G358" i="7"/>
  <c r="H358" i="7"/>
  <c r="I358" i="7"/>
  <c r="E359" i="7"/>
  <c r="F359" i="7"/>
  <c r="G359" i="7"/>
  <c r="H359" i="7"/>
  <c r="I359" i="7"/>
  <c r="E360" i="7"/>
  <c r="F360" i="7"/>
  <c r="G360" i="7"/>
  <c r="H360" i="7"/>
  <c r="I360" i="7"/>
  <c r="E361" i="7"/>
  <c r="F361" i="7"/>
  <c r="G361" i="7"/>
  <c r="H361" i="7"/>
  <c r="I361" i="7"/>
  <c r="E362" i="7"/>
  <c r="F362" i="7"/>
  <c r="G362" i="7"/>
  <c r="H362" i="7"/>
  <c r="I362" i="7"/>
  <c r="E363" i="7"/>
  <c r="F363" i="7"/>
  <c r="G363" i="7"/>
  <c r="H363" i="7"/>
  <c r="I363" i="7"/>
  <c r="E364" i="7"/>
  <c r="F364" i="7"/>
  <c r="G364" i="7"/>
  <c r="H364" i="7"/>
  <c r="I364" i="7"/>
  <c r="E365" i="7"/>
  <c r="F365" i="7"/>
  <c r="G365" i="7"/>
  <c r="H365" i="7"/>
  <c r="I365" i="7"/>
  <c r="E366" i="7"/>
  <c r="F366" i="7"/>
  <c r="G366" i="7"/>
  <c r="H366" i="7"/>
  <c r="I366" i="7"/>
  <c r="E367" i="7"/>
  <c r="F367" i="7"/>
  <c r="G367" i="7"/>
  <c r="H367" i="7"/>
  <c r="I367" i="7"/>
  <c r="L367" i="7"/>
  <c r="L368" i="7" s="1"/>
  <c r="L369" i="7" s="1"/>
  <c r="L370" i="7" s="1"/>
  <c r="L371" i="7" s="1"/>
  <c r="L372" i="7" s="1"/>
  <c r="L373" i="7" s="1"/>
  <c r="L374" i="7" s="1"/>
  <c r="L375" i="7" s="1"/>
  <c r="L376" i="7" s="1"/>
  <c r="L377" i="7" s="1"/>
  <c r="L378" i="7" s="1"/>
  <c r="L379" i="7" s="1"/>
  <c r="L380" i="7" s="1"/>
  <c r="L381" i="7" s="1"/>
  <c r="L382" i="7" s="1"/>
  <c r="L383" i="7" s="1"/>
  <c r="L384" i="7" s="1"/>
  <c r="L385" i="7" s="1"/>
  <c r="L386" i="7" s="1"/>
  <c r="L387" i="7" s="1"/>
  <c r="L388" i="7" s="1"/>
  <c r="L389" i="7" s="1"/>
  <c r="L390" i="7" s="1"/>
  <c r="L391" i="7" s="1"/>
  <c r="L392" i="7" s="1"/>
  <c r="L393" i="7" s="1"/>
  <c r="L394" i="7" s="1"/>
  <c r="L395" i="7" s="1"/>
  <c r="L396" i="7" s="1"/>
  <c r="L397" i="7" s="1"/>
  <c r="L398" i="7" s="1"/>
  <c r="L399" i="7" s="1"/>
  <c r="L400" i="7" s="1"/>
  <c r="L401" i="7" s="1"/>
  <c r="L402" i="7" s="1"/>
  <c r="L403" i="7" s="1"/>
  <c r="L404" i="7" s="1"/>
  <c r="L405" i="7" s="1"/>
  <c r="L406" i="7" s="1"/>
  <c r="L407" i="7" s="1"/>
  <c r="L408" i="7" s="1"/>
  <c r="L409" i="7" s="1"/>
  <c r="L410" i="7" s="1"/>
  <c r="L411" i="7" s="1"/>
  <c r="L412" i="7" s="1"/>
  <c r="L413" i="7" s="1"/>
  <c r="L414" i="7" s="1"/>
  <c r="L415" i="7" s="1"/>
  <c r="L416" i="7" s="1"/>
  <c r="L417" i="7" s="1"/>
  <c r="L418" i="7" s="1"/>
  <c r="L419" i="7" s="1"/>
  <c r="L420" i="7" s="1"/>
  <c r="L421" i="7" s="1"/>
  <c r="L422" i="7" s="1"/>
  <c r="L423" i="7" s="1"/>
  <c r="L424" i="7" s="1"/>
  <c r="L425" i="7" s="1"/>
  <c r="L426" i="7" s="1"/>
  <c r="L427" i="7" s="1"/>
  <c r="L428" i="7" s="1"/>
  <c r="L429" i="7" s="1"/>
  <c r="L430" i="7" s="1"/>
  <c r="L431" i="7" s="1"/>
  <c r="L432" i="7" s="1"/>
  <c r="L433" i="7" s="1"/>
  <c r="L434" i="7" s="1"/>
  <c r="L435" i="7" s="1"/>
  <c r="L436" i="7" s="1"/>
  <c r="L437" i="7" s="1"/>
  <c r="L438" i="7" s="1"/>
  <c r="L439" i="7" s="1"/>
  <c r="L440" i="7" s="1"/>
  <c r="L441" i="7" s="1"/>
  <c r="L442" i="7" s="1"/>
  <c r="L443" i="7" s="1"/>
  <c r="L444" i="7" s="1"/>
  <c r="L445" i="7" s="1"/>
  <c r="L446" i="7" s="1"/>
  <c r="L447" i="7" s="1"/>
  <c r="L448" i="7" s="1"/>
  <c r="L449" i="7" s="1"/>
  <c r="L450" i="7" s="1"/>
  <c r="L451" i="7" s="1"/>
  <c r="L452" i="7" s="1"/>
  <c r="L453" i="7" s="1"/>
  <c r="L454" i="7" s="1"/>
  <c r="L455" i="7" s="1"/>
  <c r="L456" i="7" s="1"/>
  <c r="L457" i="7" s="1"/>
  <c r="L458" i="7" s="1"/>
  <c r="L459" i="7" s="1"/>
  <c r="L460" i="7" s="1"/>
  <c r="L461" i="7" s="1"/>
  <c r="L462" i="7" s="1"/>
  <c r="L463" i="7" s="1"/>
  <c r="L464" i="7" s="1"/>
  <c r="L465" i="7" s="1"/>
  <c r="L466" i="7" s="1"/>
  <c r="L467" i="7" s="1"/>
  <c r="L468" i="7" s="1"/>
  <c r="L469" i="7" s="1"/>
  <c r="L470" i="7" s="1"/>
  <c r="L471" i="7" s="1"/>
  <c r="L472" i="7" s="1"/>
  <c r="L473" i="7" s="1"/>
  <c r="L474" i="7" s="1"/>
  <c r="L475" i="7" s="1"/>
  <c r="L476" i="7" s="1"/>
  <c r="L477" i="7" s="1"/>
  <c r="L478" i="7" s="1"/>
  <c r="L479" i="7" s="1"/>
  <c r="L480" i="7" s="1"/>
  <c r="L481" i="7" s="1"/>
  <c r="L482" i="7" s="1"/>
  <c r="L483" i="7" s="1"/>
  <c r="L484" i="7" s="1"/>
  <c r="L485" i="7" s="1"/>
  <c r="L486" i="7" s="1"/>
  <c r="L487" i="7" s="1"/>
  <c r="L488" i="7" s="1"/>
  <c r="L489" i="7" s="1"/>
  <c r="L490" i="7" s="1"/>
  <c r="L491" i="7" s="1"/>
  <c r="L492" i="7" s="1"/>
  <c r="L493" i="7" s="1"/>
  <c r="L494" i="7" s="1"/>
  <c r="L495" i="7" s="1"/>
  <c r="L496" i="7" s="1"/>
  <c r="L497" i="7" s="1"/>
  <c r="L498" i="7" s="1"/>
  <c r="L499" i="7" s="1"/>
  <c r="L500" i="7" s="1"/>
  <c r="L501" i="7" s="1"/>
  <c r="L502" i="7" s="1"/>
  <c r="L503" i="7" s="1"/>
  <c r="L504" i="7" s="1"/>
  <c r="L505" i="7" s="1"/>
  <c r="L506" i="7" s="1"/>
  <c r="L507" i="7" s="1"/>
  <c r="L508" i="7" s="1"/>
  <c r="L509" i="7" s="1"/>
  <c r="L510" i="7" s="1"/>
  <c r="L511" i="7" s="1"/>
  <c r="L512" i="7" s="1"/>
  <c r="L513" i="7" s="1"/>
  <c r="L514" i="7" s="1"/>
  <c r="L515" i="7" s="1"/>
  <c r="L516" i="7" s="1"/>
  <c r="L517" i="7" s="1"/>
  <c r="L518" i="7" s="1"/>
  <c r="L519" i="7" s="1"/>
  <c r="L520" i="7" s="1"/>
  <c r="L521" i="7" s="1"/>
  <c r="L522" i="7" s="1"/>
  <c r="L523" i="7" s="1"/>
  <c r="L524" i="7" s="1"/>
  <c r="L525" i="7" s="1"/>
  <c r="L526" i="7" s="1"/>
  <c r="L527" i="7" s="1"/>
  <c r="L528" i="7" s="1"/>
  <c r="L529" i="7" s="1"/>
  <c r="L530" i="7" s="1"/>
  <c r="L531" i="7" s="1"/>
  <c r="L532" i="7" s="1"/>
  <c r="L533" i="7" s="1"/>
  <c r="L534" i="7" s="1"/>
  <c r="L535" i="7" s="1"/>
  <c r="L536" i="7" s="1"/>
  <c r="L537" i="7" s="1"/>
  <c r="E368" i="7"/>
  <c r="F368" i="7"/>
  <c r="G368" i="7"/>
  <c r="H368" i="7"/>
  <c r="I368" i="7"/>
  <c r="E369" i="7"/>
  <c r="F369" i="7"/>
  <c r="G369" i="7"/>
  <c r="H369" i="7"/>
  <c r="I369" i="7"/>
  <c r="E370" i="7"/>
  <c r="F370" i="7"/>
  <c r="G370" i="7"/>
  <c r="H370" i="7"/>
  <c r="I370" i="7"/>
  <c r="E371" i="7"/>
  <c r="F371" i="7"/>
  <c r="G371" i="7"/>
  <c r="H371" i="7"/>
  <c r="I371" i="7"/>
  <c r="E372" i="7"/>
  <c r="F372" i="7"/>
  <c r="G372" i="7"/>
  <c r="H372" i="7"/>
  <c r="I372" i="7"/>
  <c r="E373" i="7"/>
  <c r="F373" i="7"/>
  <c r="G373" i="7"/>
  <c r="H373" i="7"/>
  <c r="I373" i="7"/>
  <c r="E374" i="7"/>
  <c r="F374" i="7"/>
  <c r="G374" i="7"/>
  <c r="H374" i="7"/>
  <c r="I374" i="7"/>
  <c r="E375" i="7"/>
  <c r="F375" i="7"/>
  <c r="G375" i="7"/>
  <c r="H375" i="7"/>
  <c r="I375" i="7"/>
  <c r="E376" i="7"/>
  <c r="F376" i="7"/>
  <c r="G376" i="7"/>
  <c r="H376" i="7"/>
  <c r="I376" i="7"/>
  <c r="J376" i="7" s="1"/>
  <c r="E377" i="7"/>
  <c r="F377" i="7"/>
  <c r="G377" i="7"/>
  <c r="H377" i="7"/>
  <c r="I377" i="7"/>
  <c r="E378" i="7"/>
  <c r="F378" i="7"/>
  <c r="G378" i="7"/>
  <c r="H378" i="7"/>
  <c r="I378" i="7"/>
  <c r="E379" i="7"/>
  <c r="F379" i="7"/>
  <c r="G379" i="7"/>
  <c r="H379" i="7"/>
  <c r="I379" i="7"/>
  <c r="E380" i="7"/>
  <c r="F380" i="7"/>
  <c r="G380" i="7"/>
  <c r="H380" i="7"/>
  <c r="I380" i="7"/>
  <c r="E381" i="7"/>
  <c r="F381" i="7"/>
  <c r="G381" i="7"/>
  <c r="H381" i="7"/>
  <c r="I381" i="7"/>
  <c r="E382" i="7"/>
  <c r="F382" i="7"/>
  <c r="G382" i="7"/>
  <c r="H382" i="7"/>
  <c r="I382" i="7"/>
  <c r="E383" i="7"/>
  <c r="F383" i="7"/>
  <c r="G383" i="7"/>
  <c r="H383" i="7"/>
  <c r="I383" i="7"/>
  <c r="E384" i="7"/>
  <c r="F384" i="7"/>
  <c r="G384" i="7"/>
  <c r="H384" i="7"/>
  <c r="I384" i="7"/>
  <c r="E385" i="7"/>
  <c r="F385" i="7"/>
  <c r="G385" i="7"/>
  <c r="H385" i="7"/>
  <c r="I385" i="7"/>
  <c r="E386" i="7"/>
  <c r="F386" i="7"/>
  <c r="G386" i="7"/>
  <c r="H386" i="7"/>
  <c r="I386" i="7"/>
  <c r="E387" i="7"/>
  <c r="F387" i="7"/>
  <c r="G387" i="7"/>
  <c r="H387" i="7"/>
  <c r="I387" i="7"/>
  <c r="E388" i="7"/>
  <c r="F388" i="7"/>
  <c r="G388" i="7"/>
  <c r="H388" i="7"/>
  <c r="I388" i="7"/>
  <c r="E389" i="7"/>
  <c r="F389" i="7"/>
  <c r="G389" i="7"/>
  <c r="H389" i="7"/>
  <c r="I389" i="7"/>
  <c r="E390" i="7"/>
  <c r="F390" i="7"/>
  <c r="G390" i="7"/>
  <c r="H390" i="7"/>
  <c r="I390" i="7"/>
  <c r="E391" i="7"/>
  <c r="F391" i="7"/>
  <c r="G391" i="7"/>
  <c r="H391" i="7"/>
  <c r="I391" i="7"/>
  <c r="E392" i="7"/>
  <c r="F392" i="7"/>
  <c r="G392" i="7"/>
  <c r="H392" i="7"/>
  <c r="I392" i="7"/>
  <c r="E393" i="7"/>
  <c r="F393" i="7"/>
  <c r="G393" i="7"/>
  <c r="H393" i="7"/>
  <c r="I393" i="7"/>
  <c r="E394" i="7"/>
  <c r="F394" i="7"/>
  <c r="G394" i="7"/>
  <c r="H394" i="7"/>
  <c r="I394" i="7"/>
  <c r="E395" i="7"/>
  <c r="F395" i="7"/>
  <c r="G395" i="7"/>
  <c r="H395" i="7"/>
  <c r="I395" i="7"/>
  <c r="E396" i="7"/>
  <c r="F396" i="7"/>
  <c r="G396" i="7"/>
  <c r="H396" i="7"/>
  <c r="I396" i="7"/>
  <c r="E397" i="7"/>
  <c r="F397" i="7"/>
  <c r="G397" i="7"/>
  <c r="H397" i="7"/>
  <c r="I397" i="7"/>
  <c r="E398" i="7"/>
  <c r="F398" i="7"/>
  <c r="G398" i="7"/>
  <c r="H398" i="7"/>
  <c r="I398" i="7"/>
  <c r="E399" i="7"/>
  <c r="F399" i="7"/>
  <c r="G399" i="7"/>
  <c r="H399" i="7"/>
  <c r="I399" i="7"/>
  <c r="E400" i="7"/>
  <c r="F400" i="7"/>
  <c r="G400" i="7"/>
  <c r="H400" i="7"/>
  <c r="I400" i="7"/>
  <c r="E401" i="7"/>
  <c r="F401" i="7"/>
  <c r="G401" i="7"/>
  <c r="H401" i="7"/>
  <c r="I401" i="7"/>
  <c r="E402" i="7"/>
  <c r="F402" i="7"/>
  <c r="G402" i="7"/>
  <c r="H402" i="7"/>
  <c r="I402" i="7"/>
  <c r="E403" i="7"/>
  <c r="F403" i="7"/>
  <c r="G403" i="7"/>
  <c r="H403" i="7"/>
  <c r="I403" i="7"/>
  <c r="E404" i="7"/>
  <c r="F404" i="7"/>
  <c r="G404" i="7"/>
  <c r="H404" i="7"/>
  <c r="I404" i="7"/>
  <c r="E405" i="7"/>
  <c r="F405" i="7"/>
  <c r="G405" i="7"/>
  <c r="H405" i="7"/>
  <c r="I405" i="7"/>
  <c r="E406" i="7"/>
  <c r="F406" i="7"/>
  <c r="G406" i="7"/>
  <c r="H406" i="7"/>
  <c r="I406" i="7"/>
  <c r="E407" i="7"/>
  <c r="F407" i="7"/>
  <c r="G407" i="7"/>
  <c r="H407" i="7"/>
  <c r="I407" i="7"/>
  <c r="E408" i="7"/>
  <c r="F408" i="7"/>
  <c r="G408" i="7"/>
  <c r="H408" i="7"/>
  <c r="I408" i="7"/>
  <c r="E409" i="7"/>
  <c r="F409" i="7"/>
  <c r="G409" i="7"/>
  <c r="H409" i="7"/>
  <c r="I409" i="7"/>
  <c r="E410" i="7"/>
  <c r="F410" i="7"/>
  <c r="G410" i="7"/>
  <c r="H410" i="7"/>
  <c r="I410" i="7"/>
  <c r="E411" i="7"/>
  <c r="F411" i="7"/>
  <c r="G411" i="7"/>
  <c r="H411" i="7"/>
  <c r="I411" i="7"/>
  <c r="E412" i="7"/>
  <c r="F412" i="7"/>
  <c r="G412" i="7"/>
  <c r="H412" i="7"/>
  <c r="I412" i="7"/>
  <c r="E413" i="7"/>
  <c r="F413" i="7"/>
  <c r="G413" i="7"/>
  <c r="H413" i="7"/>
  <c r="I413" i="7"/>
  <c r="E414" i="7"/>
  <c r="F414" i="7"/>
  <c r="G414" i="7"/>
  <c r="H414" i="7"/>
  <c r="I414" i="7"/>
  <c r="E415" i="7"/>
  <c r="F415" i="7"/>
  <c r="G415" i="7"/>
  <c r="H415" i="7"/>
  <c r="I415" i="7"/>
  <c r="E416" i="7"/>
  <c r="F416" i="7"/>
  <c r="G416" i="7"/>
  <c r="H416" i="7"/>
  <c r="I416" i="7"/>
  <c r="E417" i="7"/>
  <c r="F417" i="7"/>
  <c r="G417" i="7"/>
  <c r="H417" i="7"/>
  <c r="I417" i="7"/>
  <c r="E418" i="7"/>
  <c r="F418" i="7"/>
  <c r="G418" i="7"/>
  <c r="H418" i="7"/>
  <c r="I418" i="7"/>
  <c r="E419" i="7"/>
  <c r="F419" i="7"/>
  <c r="G419" i="7"/>
  <c r="H419" i="7"/>
  <c r="I419" i="7"/>
  <c r="K419" i="7" s="1"/>
  <c r="J419" i="7"/>
  <c r="E420" i="7"/>
  <c r="F420" i="7"/>
  <c r="G420" i="7"/>
  <c r="H420" i="7"/>
  <c r="I420" i="7"/>
  <c r="E421" i="7"/>
  <c r="F421" i="7"/>
  <c r="G421" i="7"/>
  <c r="H421" i="7"/>
  <c r="I421" i="7"/>
  <c r="E422" i="7"/>
  <c r="F422" i="7"/>
  <c r="G422" i="7"/>
  <c r="H422" i="7"/>
  <c r="I422" i="7"/>
  <c r="E423" i="7"/>
  <c r="F423" i="7"/>
  <c r="G423" i="7"/>
  <c r="H423" i="7"/>
  <c r="I423" i="7"/>
  <c r="E424" i="7"/>
  <c r="F424" i="7"/>
  <c r="G424" i="7"/>
  <c r="H424" i="7"/>
  <c r="I424" i="7"/>
  <c r="E425" i="7"/>
  <c r="F425" i="7"/>
  <c r="G425" i="7"/>
  <c r="H425" i="7"/>
  <c r="I425" i="7"/>
  <c r="E426" i="7"/>
  <c r="F426" i="7"/>
  <c r="G426" i="7"/>
  <c r="H426" i="7"/>
  <c r="I426" i="7"/>
  <c r="E427" i="7"/>
  <c r="F427" i="7"/>
  <c r="G427" i="7"/>
  <c r="H427" i="7"/>
  <c r="I427" i="7"/>
  <c r="E428" i="7"/>
  <c r="F428" i="7"/>
  <c r="G428" i="7"/>
  <c r="H428" i="7"/>
  <c r="I428" i="7"/>
  <c r="E429" i="7"/>
  <c r="F429" i="7"/>
  <c r="G429" i="7"/>
  <c r="H429" i="7"/>
  <c r="I429" i="7"/>
  <c r="E430" i="7"/>
  <c r="F430" i="7"/>
  <c r="G430" i="7"/>
  <c r="H430" i="7"/>
  <c r="I430" i="7"/>
  <c r="E431" i="7"/>
  <c r="F431" i="7"/>
  <c r="G431" i="7"/>
  <c r="H431" i="7"/>
  <c r="I431" i="7"/>
  <c r="E432" i="7"/>
  <c r="F432" i="7"/>
  <c r="G432" i="7"/>
  <c r="H432" i="7"/>
  <c r="I432" i="7"/>
  <c r="E433" i="7"/>
  <c r="F433" i="7"/>
  <c r="G433" i="7"/>
  <c r="H433" i="7"/>
  <c r="I433" i="7"/>
  <c r="E434" i="7"/>
  <c r="F434" i="7"/>
  <c r="G434" i="7"/>
  <c r="H434" i="7"/>
  <c r="I434" i="7"/>
  <c r="E435" i="7"/>
  <c r="F435" i="7"/>
  <c r="G435" i="7"/>
  <c r="H435" i="7"/>
  <c r="I435" i="7"/>
  <c r="E436" i="7"/>
  <c r="F436" i="7"/>
  <c r="G436" i="7"/>
  <c r="H436" i="7"/>
  <c r="I436" i="7"/>
  <c r="E437" i="7"/>
  <c r="F437" i="7"/>
  <c r="G437" i="7"/>
  <c r="H437" i="7"/>
  <c r="I437" i="7"/>
  <c r="E438" i="7"/>
  <c r="F438" i="7"/>
  <c r="G438" i="7"/>
  <c r="H438" i="7"/>
  <c r="I438" i="7"/>
  <c r="E439" i="7"/>
  <c r="F439" i="7"/>
  <c r="G439" i="7"/>
  <c r="H439" i="7"/>
  <c r="I439" i="7"/>
  <c r="E440" i="7"/>
  <c r="F440" i="7"/>
  <c r="G440" i="7"/>
  <c r="H440" i="7"/>
  <c r="I440" i="7"/>
  <c r="E441" i="7"/>
  <c r="F441" i="7"/>
  <c r="G441" i="7"/>
  <c r="H441" i="7"/>
  <c r="I441" i="7"/>
  <c r="E442" i="7"/>
  <c r="F442" i="7"/>
  <c r="G442" i="7"/>
  <c r="H442" i="7"/>
  <c r="I442" i="7"/>
  <c r="E443" i="7"/>
  <c r="F443" i="7"/>
  <c r="G443" i="7"/>
  <c r="H443" i="7"/>
  <c r="I443" i="7"/>
  <c r="E444" i="7"/>
  <c r="F444" i="7"/>
  <c r="G444" i="7"/>
  <c r="H444" i="7"/>
  <c r="I444" i="7"/>
  <c r="E445" i="7"/>
  <c r="F445" i="7"/>
  <c r="G445" i="7"/>
  <c r="H445" i="7"/>
  <c r="I445" i="7"/>
  <c r="E446" i="7"/>
  <c r="F446" i="7"/>
  <c r="G446" i="7"/>
  <c r="H446" i="7"/>
  <c r="I446" i="7"/>
  <c r="E447" i="7"/>
  <c r="F447" i="7"/>
  <c r="G447" i="7"/>
  <c r="H447" i="7"/>
  <c r="I447" i="7"/>
  <c r="E448" i="7"/>
  <c r="F448" i="7"/>
  <c r="G448" i="7"/>
  <c r="H448" i="7"/>
  <c r="I448" i="7"/>
  <c r="E449" i="7"/>
  <c r="F449" i="7"/>
  <c r="G449" i="7"/>
  <c r="H449" i="7"/>
  <c r="I449" i="7"/>
  <c r="E450" i="7"/>
  <c r="F450" i="7"/>
  <c r="G450" i="7"/>
  <c r="H450" i="7"/>
  <c r="I450" i="7"/>
  <c r="E451" i="7"/>
  <c r="F451" i="7"/>
  <c r="G451" i="7"/>
  <c r="H451" i="7"/>
  <c r="I451" i="7"/>
  <c r="E452" i="7"/>
  <c r="F452" i="7"/>
  <c r="G452" i="7"/>
  <c r="H452" i="7"/>
  <c r="I452" i="7"/>
  <c r="E453" i="7"/>
  <c r="F453" i="7"/>
  <c r="G453" i="7"/>
  <c r="H453" i="7"/>
  <c r="I453" i="7"/>
  <c r="E454" i="7"/>
  <c r="F454" i="7"/>
  <c r="G454" i="7"/>
  <c r="H454" i="7"/>
  <c r="I454" i="7"/>
  <c r="E455" i="7"/>
  <c r="F455" i="7"/>
  <c r="G455" i="7"/>
  <c r="H455" i="7"/>
  <c r="I455" i="7"/>
  <c r="E456" i="7"/>
  <c r="F456" i="7"/>
  <c r="G456" i="7"/>
  <c r="H456" i="7"/>
  <c r="I456" i="7"/>
  <c r="E457" i="7"/>
  <c r="F457" i="7"/>
  <c r="G457" i="7"/>
  <c r="H457" i="7"/>
  <c r="I457" i="7"/>
  <c r="E458" i="7"/>
  <c r="F458" i="7"/>
  <c r="G458" i="7"/>
  <c r="H458" i="7"/>
  <c r="I458" i="7"/>
  <c r="E459" i="7"/>
  <c r="F459" i="7"/>
  <c r="G459" i="7"/>
  <c r="H459" i="7"/>
  <c r="I459" i="7"/>
  <c r="E460" i="7"/>
  <c r="F460" i="7"/>
  <c r="G460" i="7"/>
  <c r="H460" i="7"/>
  <c r="I460" i="7"/>
  <c r="E461" i="7"/>
  <c r="F461" i="7"/>
  <c r="G461" i="7"/>
  <c r="H461" i="7"/>
  <c r="I461" i="7"/>
  <c r="E462" i="7"/>
  <c r="F462" i="7"/>
  <c r="G462" i="7"/>
  <c r="H462" i="7"/>
  <c r="I462" i="7"/>
  <c r="E463" i="7"/>
  <c r="F463" i="7"/>
  <c r="G463" i="7"/>
  <c r="H463" i="7"/>
  <c r="I463" i="7"/>
  <c r="E464" i="7"/>
  <c r="F464" i="7"/>
  <c r="G464" i="7"/>
  <c r="H464" i="7"/>
  <c r="I464" i="7"/>
  <c r="E465" i="7"/>
  <c r="F465" i="7"/>
  <c r="G465" i="7"/>
  <c r="H465" i="7"/>
  <c r="I465" i="7"/>
  <c r="E466" i="7"/>
  <c r="F466" i="7"/>
  <c r="G466" i="7"/>
  <c r="H466" i="7"/>
  <c r="I466" i="7"/>
  <c r="E467" i="7"/>
  <c r="F467" i="7"/>
  <c r="G467" i="7"/>
  <c r="H467" i="7"/>
  <c r="I467" i="7"/>
  <c r="E468" i="7"/>
  <c r="F468" i="7"/>
  <c r="G468" i="7"/>
  <c r="H468" i="7"/>
  <c r="I468" i="7"/>
  <c r="E469" i="7"/>
  <c r="F469" i="7"/>
  <c r="G469" i="7"/>
  <c r="H469" i="7"/>
  <c r="I469" i="7"/>
  <c r="E470" i="7"/>
  <c r="F470" i="7"/>
  <c r="G470" i="7"/>
  <c r="H470" i="7"/>
  <c r="I470" i="7"/>
  <c r="E471" i="7"/>
  <c r="F471" i="7"/>
  <c r="G471" i="7"/>
  <c r="H471" i="7"/>
  <c r="I471" i="7"/>
  <c r="E472" i="7"/>
  <c r="F472" i="7"/>
  <c r="G472" i="7"/>
  <c r="H472" i="7"/>
  <c r="I472" i="7"/>
  <c r="E473" i="7"/>
  <c r="F473" i="7"/>
  <c r="G473" i="7"/>
  <c r="H473" i="7"/>
  <c r="I473" i="7"/>
  <c r="E474" i="7"/>
  <c r="F474" i="7"/>
  <c r="G474" i="7"/>
  <c r="H474" i="7"/>
  <c r="I474" i="7"/>
  <c r="E475" i="7"/>
  <c r="F475" i="7"/>
  <c r="G475" i="7"/>
  <c r="H475" i="7"/>
  <c r="I475" i="7"/>
  <c r="E476" i="7"/>
  <c r="F476" i="7"/>
  <c r="G476" i="7"/>
  <c r="H476" i="7"/>
  <c r="I476" i="7"/>
  <c r="E477" i="7"/>
  <c r="F477" i="7"/>
  <c r="G477" i="7"/>
  <c r="H477" i="7"/>
  <c r="I477" i="7"/>
  <c r="E478" i="7"/>
  <c r="F478" i="7"/>
  <c r="G478" i="7"/>
  <c r="H478" i="7"/>
  <c r="I478" i="7"/>
  <c r="E479" i="7"/>
  <c r="F479" i="7"/>
  <c r="G479" i="7"/>
  <c r="H479" i="7"/>
  <c r="I479" i="7"/>
  <c r="E480" i="7"/>
  <c r="F480" i="7"/>
  <c r="G480" i="7"/>
  <c r="H480" i="7"/>
  <c r="I480" i="7"/>
  <c r="E481" i="7"/>
  <c r="F481" i="7"/>
  <c r="G481" i="7"/>
  <c r="H481" i="7"/>
  <c r="I481" i="7"/>
  <c r="E482" i="7"/>
  <c r="F482" i="7"/>
  <c r="G482" i="7"/>
  <c r="H482" i="7"/>
  <c r="I482" i="7"/>
  <c r="E483" i="7"/>
  <c r="F483" i="7"/>
  <c r="G483" i="7"/>
  <c r="H483" i="7"/>
  <c r="I483" i="7"/>
  <c r="E484" i="7"/>
  <c r="F484" i="7"/>
  <c r="G484" i="7"/>
  <c r="H484" i="7"/>
  <c r="I484" i="7"/>
  <c r="E485" i="7"/>
  <c r="F485" i="7"/>
  <c r="G485" i="7"/>
  <c r="H485" i="7"/>
  <c r="I485" i="7"/>
  <c r="E486" i="7"/>
  <c r="F486" i="7"/>
  <c r="G486" i="7"/>
  <c r="H486" i="7"/>
  <c r="I486" i="7"/>
  <c r="E487" i="7"/>
  <c r="F487" i="7"/>
  <c r="G487" i="7"/>
  <c r="H487" i="7"/>
  <c r="I487" i="7"/>
  <c r="E488" i="7"/>
  <c r="F488" i="7"/>
  <c r="G488" i="7"/>
  <c r="H488" i="7"/>
  <c r="I488" i="7"/>
  <c r="E489" i="7"/>
  <c r="F489" i="7"/>
  <c r="G489" i="7"/>
  <c r="H489" i="7"/>
  <c r="I489" i="7"/>
  <c r="E490" i="7"/>
  <c r="F490" i="7"/>
  <c r="G490" i="7"/>
  <c r="H490" i="7"/>
  <c r="I490" i="7"/>
  <c r="E491" i="7"/>
  <c r="F491" i="7"/>
  <c r="G491" i="7"/>
  <c r="H491" i="7"/>
  <c r="I491" i="7"/>
  <c r="E492" i="7"/>
  <c r="F492" i="7"/>
  <c r="G492" i="7"/>
  <c r="H492" i="7"/>
  <c r="I492" i="7"/>
  <c r="E493" i="7"/>
  <c r="F493" i="7"/>
  <c r="G493" i="7"/>
  <c r="H493" i="7"/>
  <c r="I493" i="7"/>
  <c r="E494" i="7"/>
  <c r="F494" i="7"/>
  <c r="G494" i="7"/>
  <c r="H494" i="7"/>
  <c r="I494" i="7"/>
  <c r="E495" i="7"/>
  <c r="F495" i="7"/>
  <c r="G495" i="7"/>
  <c r="H495" i="7"/>
  <c r="I495" i="7"/>
  <c r="E496" i="7"/>
  <c r="F496" i="7"/>
  <c r="G496" i="7"/>
  <c r="H496" i="7"/>
  <c r="I496" i="7"/>
  <c r="E497" i="7"/>
  <c r="F497" i="7"/>
  <c r="G497" i="7"/>
  <c r="H497" i="7"/>
  <c r="I497" i="7"/>
  <c r="E498" i="7"/>
  <c r="F498" i="7"/>
  <c r="G498" i="7"/>
  <c r="H498" i="7"/>
  <c r="I498" i="7"/>
  <c r="E499" i="7"/>
  <c r="F499" i="7"/>
  <c r="G499" i="7"/>
  <c r="H499" i="7"/>
  <c r="I499" i="7"/>
  <c r="E500" i="7"/>
  <c r="F500" i="7"/>
  <c r="G500" i="7"/>
  <c r="H500" i="7"/>
  <c r="I500" i="7"/>
  <c r="E501" i="7"/>
  <c r="F501" i="7"/>
  <c r="G501" i="7"/>
  <c r="H501" i="7"/>
  <c r="I501" i="7"/>
  <c r="E502" i="7"/>
  <c r="F502" i="7"/>
  <c r="G502" i="7"/>
  <c r="H502" i="7"/>
  <c r="I502" i="7"/>
  <c r="E503" i="7"/>
  <c r="F503" i="7"/>
  <c r="G503" i="7"/>
  <c r="H503" i="7"/>
  <c r="I503" i="7"/>
  <c r="E504" i="7"/>
  <c r="F504" i="7"/>
  <c r="G504" i="7"/>
  <c r="H504" i="7"/>
  <c r="I504" i="7"/>
  <c r="E505" i="7"/>
  <c r="F505" i="7"/>
  <c r="G505" i="7"/>
  <c r="H505" i="7"/>
  <c r="I505" i="7"/>
  <c r="E506" i="7"/>
  <c r="F506" i="7"/>
  <c r="G506" i="7"/>
  <c r="H506" i="7"/>
  <c r="I506" i="7"/>
  <c r="E507" i="7"/>
  <c r="F507" i="7"/>
  <c r="G507" i="7"/>
  <c r="H507" i="7"/>
  <c r="I507" i="7"/>
  <c r="E508" i="7"/>
  <c r="F508" i="7"/>
  <c r="G508" i="7"/>
  <c r="H508" i="7"/>
  <c r="I508" i="7"/>
  <c r="E509" i="7"/>
  <c r="F509" i="7"/>
  <c r="G509" i="7"/>
  <c r="H509" i="7"/>
  <c r="I509" i="7"/>
  <c r="E510" i="7"/>
  <c r="F510" i="7"/>
  <c r="G510" i="7"/>
  <c r="H510" i="7"/>
  <c r="I510" i="7"/>
  <c r="E511" i="7"/>
  <c r="F511" i="7"/>
  <c r="G511" i="7"/>
  <c r="H511" i="7"/>
  <c r="I511" i="7"/>
  <c r="E512" i="7"/>
  <c r="F512" i="7"/>
  <c r="G512" i="7"/>
  <c r="H512" i="7"/>
  <c r="I512" i="7"/>
  <c r="E513" i="7"/>
  <c r="F513" i="7"/>
  <c r="G513" i="7"/>
  <c r="H513" i="7"/>
  <c r="I513" i="7"/>
  <c r="E514" i="7"/>
  <c r="F514" i="7"/>
  <c r="G514" i="7"/>
  <c r="H514" i="7"/>
  <c r="I514" i="7"/>
  <c r="E515" i="7"/>
  <c r="F515" i="7"/>
  <c r="G515" i="7"/>
  <c r="H515" i="7"/>
  <c r="I515" i="7"/>
  <c r="E516" i="7"/>
  <c r="F516" i="7"/>
  <c r="G516" i="7"/>
  <c r="H516" i="7"/>
  <c r="I516" i="7"/>
  <c r="E517" i="7"/>
  <c r="F517" i="7"/>
  <c r="G517" i="7"/>
  <c r="H517" i="7"/>
  <c r="I517" i="7"/>
  <c r="E518" i="7"/>
  <c r="F518" i="7"/>
  <c r="G518" i="7"/>
  <c r="H518" i="7"/>
  <c r="I518" i="7"/>
  <c r="E519" i="7"/>
  <c r="F519" i="7"/>
  <c r="G519" i="7"/>
  <c r="H519" i="7"/>
  <c r="I519" i="7"/>
  <c r="E520" i="7"/>
  <c r="F520" i="7"/>
  <c r="G520" i="7"/>
  <c r="H520" i="7"/>
  <c r="I520" i="7"/>
  <c r="E521" i="7"/>
  <c r="F521" i="7"/>
  <c r="G521" i="7"/>
  <c r="H521" i="7"/>
  <c r="I521" i="7"/>
  <c r="E522" i="7"/>
  <c r="F522" i="7"/>
  <c r="G522" i="7"/>
  <c r="H522" i="7"/>
  <c r="I522" i="7"/>
  <c r="J522" i="7" s="1"/>
  <c r="E523" i="7"/>
  <c r="F523" i="7"/>
  <c r="G523" i="7"/>
  <c r="H523" i="7"/>
  <c r="I523" i="7"/>
  <c r="J523" i="7" s="1"/>
  <c r="E524" i="7"/>
  <c r="F524" i="7"/>
  <c r="G524" i="7"/>
  <c r="H524" i="7"/>
  <c r="I524" i="7"/>
  <c r="E525" i="7"/>
  <c r="F525" i="7"/>
  <c r="G525" i="7"/>
  <c r="H525" i="7"/>
  <c r="I525" i="7"/>
  <c r="E526" i="7"/>
  <c r="F526" i="7"/>
  <c r="G526" i="7"/>
  <c r="H526" i="7"/>
  <c r="I526" i="7"/>
  <c r="E527" i="7"/>
  <c r="F527" i="7"/>
  <c r="G527" i="7"/>
  <c r="H527" i="7"/>
  <c r="I527" i="7"/>
  <c r="E528" i="7"/>
  <c r="F528" i="7"/>
  <c r="G528" i="7"/>
  <c r="H528" i="7"/>
  <c r="I528" i="7"/>
  <c r="E529" i="7"/>
  <c r="F529" i="7"/>
  <c r="G529" i="7"/>
  <c r="H529" i="7"/>
  <c r="I529" i="7"/>
  <c r="E530" i="7"/>
  <c r="F530" i="7"/>
  <c r="G530" i="7"/>
  <c r="H530" i="7"/>
  <c r="I530" i="7"/>
  <c r="E531" i="7"/>
  <c r="F531" i="7"/>
  <c r="G531" i="7"/>
  <c r="H531" i="7"/>
  <c r="I531" i="7"/>
  <c r="E532" i="7"/>
  <c r="F532" i="7"/>
  <c r="G532" i="7"/>
  <c r="H532" i="7"/>
  <c r="I532" i="7"/>
  <c r="E533" i="7"/>
  <c r="F533" i="7"/>
  <c r="G533" i="7"/>
  <c r="H533" i="7"/>
  <c r="I533" i="7"/>
  <c r="E534" i="7"/>
  <c r="F534" i="7"/>
  <c r="G534" i="7"/>
  <c r="H534" i="7"/>
  <c r="I534" i="7"/>
  <c r="E535" i="7"/>
  <c r="F535" i="7"/>
  <c r="G535" i="7"/>
  <c r="H535" i="7"/>
  <c r="I535" i="7"/>
  <c r="E536" i="7"/>
  <c r="F536" i="7"/>
  <c r="G536" i="7"/>
  <c r="H536" i="7"/>
  <c r="I536" i="7"/>
  <c r="E537" i="7"/>
  <c r="F537" i="7"/>
  <c r="G537" i="7"/>
  <c r="H537" i="7"/>
  <c r="I537" i="7"/>
  <c r="B11" i="5" l="1"/>
  <c r="C12" i="5"/>
  <c r="D8" i="5"/>
  <c r="A308" i="7"/>
  <c r="A309" i="7" s="1"/>
  <c r="A310" i="7" s="1"/>
  <c r="A311" i="7" s="1"/>
  <c r="A312" i="7" s="1"/>
  <c r="A313" i="7" s="1"/>
  <c r="A314" i="7" s="1"/>
  <c r="A315" i="7" s="1"/>
  <c r="A316" i="7" s="1"/>
  <c r="A317" i="7" s="1"/>
  <c r="G193" i="3"/>
  <c r="D193" i="3" s="1"/>
  <c r="G185" i="3"/>
  <c r="D185" i="3" s="1"/>
  <c r="G191" i="3"/>
  <c r="D191" i="3" s="1"/>
  <c r="K397" i="7"/>
  <c r="K398" i="7" s="1"/>
  <c r="K442" i="7"/>
  <c r="J504" i="7"/>
  <c r="K504" i="7"/>
  <c r="K505" i="7" s="1"/>
  <c r="K506" i="7" s="1"/>
  <c r="K507" i="7" s="1"/>
  <c r="K508" i="7" s="1"/>
  <c r="K509" i="7" s="1"/>
  <c r="K510" i="7" s="1"/>
  <c r="K511" i="7" s="1"/>
  <c r="K512" i="7" s="1"/>
  <c r="K513" i="7" s="1"/>
  <c r="K514" i="7" s="1"/>
  <c r="K515" i="7" s="1"/>
  <c r="K516" i="7" s="1"/>
  <c r="K517" i="7" s="1"/>
  <c r="K518" i="7" s="1"/>
  <c r="K519" i="7" s="1"/>
  <c r="K520" i="7" s="1"/>
  <c r="K521" i="7" s="1"/>
  <c r="J461" i="7"/>
  <c r="K461" i="7"/>
  <c r="K462" i="7" s="1"/>
  <c r="K463" i="7" s="1"/>
  <c r="K464" i="7" s="1"/>
  <c r="K465" i="7" s="1"/>
  <c r="K466" i="7" s="1"/>
  <c r="K467" i="7" s="1"/>
  <c r="K468" i="7" s="1"/>
  <c r="K469" i="7" s="1"/>
  <c r="K470" i="7" s="1"/>
  <c r="K471" i="7" s="1"/>
  <c r="K472" i="7" s="1"/>
  <c r="K473" i="7" s="1"/>
  <c r="K474" i="7" s="1"/>
  <c r="K475" i="7" s="1"/>
  <c r="K476" i="7" s="1"/>
  <c r="K477" i="7" s="1"/>
  <c r="K478" i="7" s="1"/>
  <c r="K479" i="7" s="1"/>
  <c r="K480" i="7" s="1"/>
  <c r="K481" i="7" s="1"/>
  <c r="K482" i="7" s="1"/>
  <c r="J524" i="7"/>
  <c r="J525" i="7" s="1"/>
  <c r="J526" i="7" s="1"/>
  <c r="J527" i="7" s="1"/>
  <c r="J528" i="7" s="1"/>
  <c r="J529" i="7" s="1"/>
  <c r="J530" i="7" s="1"/>
  <c r="J531" i="7" s="1"/>
  <c r="J532" i="7" s="1"/>
  <c r="J533" i="7" s="1"/>
  <c r="J534" i="7" s="1"/>
  <c r="J535" i="7" s="1"/>
  <c r="J536" i="7" s="1"/>
  <c r="J537" i="7" s="1"/>
  <c r="J420" i="7"/>
  <c r="K420" i="7"/>
  <c r="K421" i="7" s="1"/>
  <c r="K422" i="7" s="1"/>
  <c r="K423" i="7" s="1"/>
  <c r="K424" i="7" s="1"/>
  <c r="K425" i="7" s="1"/>
  <c r="K426" i="7" s="1"/>
  <c r="K427" i="7" s="1"/>
  <c r="K428" i="7" s="1"/>
  <c r="K429" i="7" s="1"/>
  <c r="K430" i="7" s="1"/>
  <c r="K431" i="7" s="1"/>
  <c r="K432" i="7" s="1"/>
  <c r="K433" i="7" s="1"/>
  <c r="K434" i="7" s="1"/>
  <c r="K435" i="7" s="1"/>
  <c r="K436" i="7" s="1"/>
  <c r="K437" i="7" s="1"/>
  <c r="K438" i="7" s="1"/>
  <c r="K439" i="7" s="1"/>
  <c r="K440" i="7" s="1"/>
  <c r="K441" i="7" s="1"/>
  <c r="K399" i="7"/>
  <c r="K400" i="7" s="1"/>
  <c r="K401" i="7" s="1"/>
  <c r="K402" i="7" s="1"/>
  <c r="K403" i="7" s="1"/>
  <c r="K404" i="7" s="1"/>
  <c r="K405" i="7" s="1"/>
  <c r="K406" i="7" s="1"/>
  <c r="K407" i="7" s="1"/>
  <c r="K408" i="7" s="1"/>
  <c r="K409" i="7" s="1"/>
  <c r="K410" i="7" s="1"/>
  <c r="K411" i="7" s="1"/>
  <c r="K412" i="7" s="1"/>
  <c r="K413" i="7" s="1"/>
  <c r="K414" i="7" s="1"/>
  <c r="K415" i="7" s="1"/>
  <c r="K416" i="7" s="1"/>
  <c r="K417" i="7" s="1"/>
  <c r="K418" i="7" s="1"/>
  <c r="J505" i="7"/>
  <c r="J442" i="7"/>
  <c r="J443" i="7" s="1"/>
  <c r="J444" i="7" s="1"/>
  <c r="J445" i="7" s="1"/>
  <c r="J446" i="7" s="1"/>
  <c r="J447" i="7" s="1"/>
  <c r="J448" i="7" s="1"/>
  <c r="J449" i="7" s="1"/>
  <c r="J450" i="7" s="1"/>
  <c r="J451" i="7" s="1"/>
  <c r="J452" i="7" s="1"/>
  <c r="J453" i="7" s="1"/>
  <c r="J454" i="7" s="1"/>
  <c r="J455" i="7" s="1"/>
  <c r="J456" i="7" s="1"/>
  <c r="J457" i="7" s="1"/>
  <c r="J458" i="7" s="1"/>
  <c r="J459" i="7" s="1"/>
  <c r="J460" i="7" s="1"/>
  <c r="J377" i="7"/>
  <c r="J378" i="7" s="1"/>
  <c r="J379" i="7" s="1"/>
  <c r="J380" i="7" s="1"/>
  <c r="J381" i="7" s="1"/>
  <c r="J382" i="7" s="1"/>
  <c r="J383" i="7" s="1"/>
  <c r="J384" i="7" s="1"/>
  <c r="J385" i="7" s="1"/>
  <c r="J386" i="7" s="1"/>
  <c r="J387" i="7" s="1"/>
  <c r="J388" i="7" s="1"/>
  <c r="J389" i="7" s="1"/>
  <c r="J390" i="7" s="1"/>
  <c r="J391" i="7" s="1"/>
  <c r="J392" i="7" s="1"/>
  <c r="J393" i="7" s="1"/>
  <c r="J394" i="7" s="1"/>
  <c r="J395" i="7" s="1"/>
  <c r="J396" i="7" s="1"/>
  <c r="K522" i="7"/>
  <c r="J462" i="7"/>
  <c r="J463" i="7" s="1"/>
  <c r="J464" i="7" s="1"/>
  <c r="J465" i="7" s="1"/>
  <c r="J466" i="7" s="1"/>
  <c r="J467" i="7" s="1"/>
  <c r="J468" i="7" s="1"/>
  <c r="J469" i="7" s="1"/>
  <c r="J470" i="7" s="1"/>
  <c r="J471" i="7" s="1"/>
  <c r="J472" i="7" s="1"/>
  <c r="J473" i="7" s="1"/>
  <c r="J474" i="7" s="1"/>
  <c r="J475" i="7" s="1"/>
  <c r="J476" i="7" s="1"/>
  <c r="J477" i="7" s="1"/>
  <c r="J478" i="7" s="1"/>
  <c r="J479" i="7" s="1"/>
  <c r="J480" i="7" s="1"/>
  <c r="J481" i="7" s="1"/>
  <c r="J482" i="7" s="1"/>
  <c r="J397" i="7"/>
  <c r="J398" i="7" s="1"/>
  <c r="J399" i="7" s="1"/>
  <c r="J400" i="7" s="1"/>
  <c r="J401" i="7" s="1"/>
  <c r="J402" i="7" s="1"/>
  <c r="J403" i="7" s="1"/>
  <c r="J404" i="7" s="1"/>
  <c r="J405" i="7" s="1"/>
  <c r="J406" i="7" s="1"/>
  <c r="J407" i="7" s="1"/>
  <c r="J408" i="7" s="1"/>
  <c r="J409" i="7" s="1"/>
  <c r="J410" i="7" s="1"/>
  <c r="J411" i="7" s="1"/>
  <c r="J412" i="7" s="1"/>
  <c r="J413" i="7" s="1"/>
  <c r="J414" i="7" s="1"/>
  <c r="J415" i="7" s="1"/>
  <c r="J416" i="7" s="1"/>
  <c r="J417" i="7" s="1"/>
  <c r="J418" i="7" s="1"/>
  <c r="K523" i="7"/>
  <c r="K524" i="7" s="1"/>
  <c r="K525" i="7" s="1"/>
  <c r="K526" i="7" s="1"/>
  <c r="K527" i="7" s="1"/>
  <c r="K528" i="7" s="1"/>
  <c r="K529" i="7" s="1"/>
  <c r="K530" i="7" s="1"/>
  <c r="K531" i="7" s="1"/>
  <c r="K532" i="7" s="1"/>
  <c r="K533" i="7" s="1"/>
  <c r="K534" i="7" s="1"/>
  <c r="K535" i="7" s="1"/>
  <c r="K536" i="7" s="1"/>
  <c r="K537" i="7" s="1"/>
  <c r="J506" i="7"/>
  <c r="J507" i="7" s="1"/>
  <c r="J508" i="7" s="1"/>
  <c r="J509" i="7" s="1"/>
  <c r="J510" i="7" s="1"/>
  <c r="J511" i="7" s="1"/>
  <c r="J512" i="7" s="1"/>
  <c r="J513" i="7" s="1"/>
  <c r="J514" i="7" s="1"/>
  <c r="J515" i="7" s="1"/>
  <c r="J516" i="7" s="1"/>
  <c r="J517" i="7" s="1"/>
  <c r="J518" i="7" s="1"/>
  <c r="J519" i="7" s="1"/>
  <c r="J520" i="7" s="1"/>
  <c r="J521" i="7" s="1"/>
  <c r="K443" i="7"/>
  <c r="K444" i="7" s="1"/>
  <c r="K445" i="7" s="1"/>
  <c r="K446" i="7" s="1"/>
  <c r="K447" i="7" s="1"/>
  <c r="K448" i="7" s="1"/>
  <c r="K449" i="7" s="1"/>
  <c r="K450" i="7" s="1"/>
  <c r="K451" i="7" s="1"/>
  <c r="K452" i="7" s="1"/>
  <c r="K453" i="7" s="1"/>
  <c r="K454" i="7" s="1"/>
  <c r="K455" i="7" s="1"/>
  <c r="K456" i="7" s="1"/>
  <c r="K457" i="7" s="1"/>
  <c r="K458" i="7" s="1"/>
  <c r="K459" i="7" s="1"/>
  <c r="K460" i="7" s="1"/>
  <c r="J483" i="7"/>
  <c r="J484" i="7" s="1"/>
  <c r="J485" i="7" s="1"/>
  <c r="J486" i="7" s="1"/>
  <c r="J487" i="7" s="1"/>
  <c r="J488" i="7" s="1"/>
  <c r="J489" i="7" s="1"/>
  <c r="J490" i="7" s="1"/>
  <c r="J491" i="7" s="1"/>
  <c r="J492" i="7" s="1"/>
  <c r="J493" i="7" s="1"/>
  <c r="J494" i="7" s="1"/>
  <c r="J495" i="7" s="1"/>
  <c r="J496" i="7" s="1"/>
  <c r="J497" i="7" s="1"/>
  <c r="J498" i="7" s="1"/>
  <c r="J499" i="7" s="1"/>
  <c r="J500" i="7" s="1"/>
  <c r="J501" i="7" s="1"/>
  <c r="J502" i="7" s="1"/>
  <c r="J503" i="7" s="1"/>
  <c r="K483" i="7"/>
  <c r="K484" i="7" s="1"/>
  <c r="K485" i="7" s="1"/>
  <c r="K486" i="7" s="1"/>
  <c r="K487" i="7" s="1"/>
  <c r="K488" i="7" s="1"/>
  <c r="K489" i="7" s="1"/>
  <c r="K490" i="7" s="1"/>
  <c r="K491" i="7" s="1"/>
  <c r="K492" i="7" s="1"/>
  <c r="K493" i="7" s="1"/>
  <c r="K494" i="7" s="1"/>
  <c r="K495" i="7" s="1"/>
  <c r="K496" i="7" s="1"/>
  <c r="K497" i="7" s="1"/>
  <c r="K498" i="7" s="1"/>
  <c r="K499" i="7" s="1"/>
  <c r="K500" i="7" s="1"/>
  <c r="K501" i="7" s="1"/>
  <c r="K502" i="7" s="1"/>
  <c r="K503" i="7" s="1"/>
  <c r="J421" i="7"/>
  <c r="J422" i="7" s="1"/>
  <c r="J423" i="7" s="1"/>
  <c r="J424" i="7" s="1"/>
  <c r="J425" i="7" s="1"/>
  <c r="J426" i="7" s="1"/>
  <c r="J427" i="7" s="1"/>
  <c r="J428" i="7" s="1"/>
  <c r="J429" i="7" s="1"/>
  <c r="J430" i="7" s="1"/>
  <c r="J431" i="7" s="1"/>
  <c r="J432" i="7" s="1"/>
  <c r="J433" i="7" s="1"/>
  <c r="J434" i="7" s="1"/>
  <c r="J435" i="7" s="1"/>
  <c r="J436" i="7" s="1"/>
  <c r="J437" i="7" s="1"/>
  <c r="J438" i="7" s="1"/>
  <c r="J439" i="7" s="1"/>
  <c r="J440" i="7" s="1"/>
  <c r="J441" i="7" s="1"/>
  <c r="K376" i="7"/>
  <c r="K377" i="7" s="1"/>
  <c r="K378" i="7" s="1"/>
  <c r="K379" i="7" s="1"/>
  <c r="K380" i="7" s="1"/>
  <c r="K381" i="7" s="1"/>
  <c r="K382" i="7" s="1"/>
  <c r="K383" i="7" s="1"/>
  <c r="K384" i="7" s="1"/>
  <c r="K385" i="7" s="1"/>
  <c r="K386" i="7" s="1"/>
  <c r="K387" i="7" s="1"/>
  <c r="K388" i="7" s="1"/>
  <c r="K389" i="7" s="1"/>
  <c r="K390" i="7" s="1"/>
  <c r="K391" i="7" s="1"/>
  <c r="K392" i="7" s="1"/>
  <c r="K393" i="7" s="1"/>
  <c r="K394" i="7" s="1"/>
  <c r="K395" i="7" s="1"/>
  <c r="K396" i="7" s="1"/>
  <c r="M354" i="7"/>
  <c r="M355" i="7" s="1"/>
  <c r="M356" i="7" s="1"/>
  <c r="M357" i="7" s="1"/>
  <c r="M358" i="7" s="1"/>
  <c r="M359" i="7" s="1"/>
  <c r="M360" i="7" s="1"/>
  <c r="M361" i="7" s="1"/>
  <c r="M362" i="7" s="1"/>
  <c r="M363" i="7" s="1"/>
  <c r="M364" i="7" s="1"/>
  <c r="M365" i="7" s="1"/>
  <c r="M366" i="7" s="1"/>
  <c r="M367" i="7" s="1"/>
  <c r="M368" i="7" s="1"/>
  <c r="M369" i="7" s="1"/>
  <c r="M370" i="7" s="1"/>
  <c r="M371" i="7" s="1"/>
  <c r="M372" i="7" s="1"/>
  <c r="M373" i="7" s="1"/>
  <c r="M374" i="7" s="1"/>
  <c r="M375" i="7" s="1"/>
  <c r="M376" i="7" s="1"/>
  <c r="M377" i="7" s="1"/>
  <c r="M378" i="7" s="1"/>
  <c r="M379" i="7" s="1"/>
  <c r="M380" i="7" s="1"/>
  <c r="M381" i="7" s="1"/>
  <c r="M382" i="7" s="1"/>
  <c r="M383" i="7" s="1"/>
  <c r="M384" i="7" s="1"/>
  <c r="M385" i="7" s="1"/>
  <c r="M386" i="7" s="1"/>
  <c r="M387" i="7" s="1"/>
  <c r="M388" i="7" s="1"/>
  <c r="M389" i="7" s="1"/>
  <c r="M390" i="7" s="1"/>
  <c r="M391" i="7" s="1"/>
  <c r="M392" i="7" s="1"/>
  <c r="M393" i="7" s="1"/>
  <c r="M394" i="7" s="1"/>
  <c r="M395" i="7" s="1"/>
  <c r="M396" i="7" s="1"/>
  <c r="M397" i="7" s="1"/>
  <c r="M398" i="7" s="1"/>
  <c r="M399" i="7" s="1"/>
  <c r="M400" i="7" s="1"/>
  <c r="M401" i="7" s="1"/>
  <c r="M402" i="7" s="1"/>
  <c r="M403" i="7" s="1"/>
  <c r="M404" i="7" s="1"/>
  <c r="M405" i="7" s="1"/>
  <c r="M406" i="7" s="1"/>
  <c r="M407" i="7" s="1"/>
  <c r="M408" i="7" s="1"/>
  <c r="M409" i="7" s="1"/>
  <c r="M410" i="7" s="1"/>
  <c r="M411" i="7" s="1"/>
  <c r="M412" i="7" s="1"/>
  <c r="M413" i="7" s="1"/>
  <c r="M414" i="7" s="1"/>
  <c r="M415" i="7" s="1"/>
  <c r="M416" i="7" s="1"/>
  <c r="M417" i="7" s="1"/>
  <c r="M418" i="7" s="1"/>
  <c r="M419" i="7" s="1"/>
  <c r="M420" i="7" s="1"/>
  <c r="M421" i="7" s="1"/>
  <c r="M422" i="7" s="1"/>
  <c r="M423" i="7" s="1"/>
  <c r="M424" i="7" s="1"/>
  <c r="M425" i="7" s="1"/>
  <c r="M426" i="7" s="1"/>
  <c r="M427" i="7" s="1"/>
  <c r="M428" i="7" s="1"/>
  <c r="M429" i="7" s="1"/>
  <c r="M430" i="7" s="1"/>
  <c r="M431" i="7" s="1"/>
  <c r="M432" i="7" s="1"/>
  <c r="M433" i="7" s="1"/>
  <c r="M434" i="7" s="1"/>
  <c r="M435" i="7" s="1"/>
  <c r="M436" i="7" s="1"/>
  <c r="M437" i="7" s="1"/>
  <c r="M438" i="7" s="1"/>
  <c r="M439" i="7" s="1"/>
  <c r="M440" i="7" s="1"/>
  <c r="M441" i="7" s="1"/>
  <c r="M442" i="7" s="1"/>
  <c r="M443" i="7" s="1"/>
  <c r="M444" i="7" s="1"/>
  <c r="M445" i="7" s="1"/>
  <c r="M446" i="7" s="1"/>
  <c r="M447" i="7" s="1"/>
  <c r="M448" i="7" s="1"/>
  <c r="M449" i="7" s="1"/>
  <c r="M450" i="7" s="1"/>
  <c r="M451" i="7" s="1"/>
  <c r="M452" i="7" s="1"/>
  <c r="M453" i="7" s="1"/>
  <c r="M454" i="7" s="1"/>
  <c r="M455" i="7" s="1"/>
  <c r="M456" i="7" s="1"/>
  <c r="M457" i="7" s="1"/>
  <c r="M458" i="7" s="1"/>
  <c r="M459" i="7" s="1"/>
  <c r="M460" i="7" s="1"/>
  <c r="M461" i="7" s="1"/>
  <c r="M462" i="7" s="1"/>
  <c r="M463" i="7" s="1"/>
  <c r="M464" i="7" s="1"/>
  <c r="M465" i="7" s="1"/>
  <c r="M466" i="7" s="1"/>
  <c r="M467" i="7" s="1"/>
  <c r="M468" i="7" s="1"/>
  <c r="M469" i="7" s="1"/>
  <c r="M470" i="7" s="1"/>
  <c r="M471" i="7" s="1"/>
  <c r="M472" i="7" s="1"/>
  <c r="M473" i="7" s="1"/>
  <c r="M474" i="7" s="1"/>
  <c r="M475" i="7" s="1"/>
  <c r="M476" i="7" s="1"/>
  <c r="M477" i="7" s="1"/>
  <c r="M478" i="7" s="1"/>
  <c r="M479" i="7" s="1"/>
  <c r="M480" i="7" s="1"/>
  <c r="M481" i="7" s="1"/>
  <c r="M482" i="7" s="1"/>
  <c r="M483" i="7" s="1"/>
  <c r="M484" i="7" s="1"/>
  <c r="M485" i="7" s="1"/>
  <c r="M486" i="7" s="1"/>
  <c r="M487" i="7" s="1"/>
  <c r="M488" i="7" s="1"/>
  <c r="M489" i="7" s="1"/>
  <c r="M490" i="7" s="1"/>
  <c r="M491" i="7" s="1"/>
  <c r="M492" i="7" s="1"/>
  <c r="M493" i="7" s="1"/>
  <c r="M494" i="7" s="1"/>
  <c r="M495" i="7" s="1"/>
  <c r="M496" i="7" s="1"/>
  <c r="M497" i="7" s="1"/>
  <c r="M498" i="7" s="1"/>
  <c r="M499" i="7" s="1"/>
  <c r="M500" i="7" s="1"/>
  <c r="M501" i="7" s="1"/>
  <c r="M502" i="7" s="1"/>
  <c r="M503" i="7" s="1"/>
  <c r="M504" i="7" s="1"/>
  <c r="M505" i="7" s="1"/>
  <c r="M506" i="7" s="1"/>
  <c r="M507" i="7" s="1"/>
  <c r="M508" i="7" s="1"/>
  <c r="M509" i="7" s="1"/>
  <c r="M510" i="7" s="1"/>
  <c r="M511" i="7" s="1"/>
  <c r="M512" i="7" s="1"/>
  <c r="M513" i="7" s="1"/>
  <c r="M514" i="7" s="1"/>
  <c r="M515" i="7" s="1"/>
  <c r="M516" i="7" s="1"/>
  <c r="M517" i="7" s="1"/>
  <c r="M518" i="7" s="1"/>
  <c r="M519" i="7" s="1"/>
  <c r="M520" i="7" s="1"/>
  <c r="M521" i="7" s="1"/>
  <c r="M522" i="7" s="1"/>
  <c r="M523" i="7" s="1"/>
  <c r="M524" i="7" s="1"/>
  <c r="M525" i="7" s="1"/>
  <c r="M526" i="7" s="1"/>
  <c r="M527" i="7" s="1"/>
  <c r="M528" i="7" s="1"/>
  <c r="M529" i="7" s="1"/>
  <c r="M530" i="7" s="1"/>
  <c r="M531" i="7" s="1"/>
  <c r="M532" i="7" s="1"/>
  <c r="M533" i="7" s="1"/>
  <c r="M534" i="7" s="1"/>
  <c r="M535" i="7" s="1"/>
  <c r="M536" i="7" s="1"/>
  <c r="M537" i="7" s="1"/>
  <c r="G172" i="3"/>
  <c r="D172" i="3" s="1"/>
  <c r="E172" i="3"/>
  <c r="G182" i="3"/>
  <c r="D182" i="3" s="1"/>
  <c r="E182" i="3"/>
  <c r="G181" i="3"/>
  <c r="D181" i="3" s="1"/>
  <c r="E181" i="3"/>
  <c r="G180" i="3"/>
  <c r="D180" i="3" s="1"/>
  <c r="E180" i="3"/>
  <c r="G179" i="3"/>
  <c r="D179" i="3" s="1"/>
  <c r="E179" i="3"/>
  <c r="G178" i="3"/>
  <c r="D178" i="3" s="1"/>
  <c r="E178" i="3"/>
  <c r="G177" i="3"/>
  <c r="D177" i="3" s="1"/>
  <c r="E177" i="3"/>
  <c r="G176" i="3"/>
  <c r="D176" i="3" s="1"/>
  <c r="E176" i="3"/>
  <c r="G175" i="3"/>
  <c r="D175" i="3" s="1"/>
  <c r="E175" i="3"/>
  <c r="G174" i="3"/>
  <c r="D174" i="3" s="1"/>
  <c r="E174" i="3"/>
  <c r="G173" i="3"/>
  <c r="D173" i="3" s="1"/>
  <c r="E173" i="3"/>
  <c r="E350" i="7"/>
  <c r="F350" i="7"/>
  <c r="G350" i="7"/>
  <c r="H350" i="7"/>
  <c r="I350" i="7"/>
  <c r="L350" i="7"/>
  <c r="L351" i="7" s="1"/>
  <c r="L352" i="7" s="1"/>
  <c r="M350" i="7"/>
  <c r="M351" i="7" s="1"/>
  <c r="M352" i="7" s="1"/>
  <c r="E351" i="7"/>
  <c r="F351" i="7"/>
  <c r="G351" i="7"/>
  <c r="H351" i="7"/>
  <c r="I351" i="7"/>
  <c r="E352" i="7"/>
  <c r="F352" i="7"/>
  <c r="G352" i="7"/>
  <c r="H352" i="7"/>
  <c r="I352" i="7"/>
  <c r="J353" i="7" s="1"/>
  <c r="J354" i="7" s="1"/>
  <c r="J355" i="7" s="1"/>
  <c r="J356" i="7" s="1"/>
  <c r="J357" i="7" s="1"/>
  <c r="J358" i="7" s="1"/>
  <c r="J359" i="7" s="1"/>
  <c r="J360" i="7" s="1"/>
  <c r="J361" i="7" s="1"/>
  <c r="J362" i="7" s="1"/>
  <c r="J363" i="7" s="1"/>
  <c r="J364" i="7" s="1"/>
  <c r="J365" i="7" s="1"/>
  <c r="J366" i="7" s="1"/>
  <c r="J367" i="7" s="1"/>
  <c r="J368" i="7" s="1"/>
  <c r="J369" i="7" s="1"/>
  <c r="J370" i="7" s="1"/>
  <c r="J371" i="7" s="1"/>
  <c r="J372" i="7" s="1"/>
  <c r="J373" i="7" s="1"/>
  <c r="J374" i="7" s="1"/>
  <c r="J375" i="7" s="1"/>
  <c r="E326" i="7"/>
  <c r="F326" i="7"/>
  <c r="G326" i="7"/>
  <c r="H326" i="7"/>
  <c r="I326" i="7"/>
  <c r="E327" i="7"/>
  <c r="F327" i="7"/>
  <c r="G327" i="7"/>
  <c r="H327" i="7"/>
  <c r="I327" i="7"/>
  <c r="E328" i="7"/>
  <c r="F328" i="7"/>
  <c r="G328" i="7"/>
  <c r="H328" i="7"/>
  <c r="I328" i="7"/>
  <c r="E329" i="7"/>
  <c r="F329" i="7"/>
  <c r="G329" i="7"/>
  <c r="H329" i="7"/>
  <c r="I329" i="7"/>
  <c r="E330" i="7"/>
  <c r="F330" i="7"/>
  <c r="G330" i="7"/>
  <c r="H330" i="7"/>
  <c r="I330" i="7"/>
  <c r="E331" i="7"/>
  <c r="F331" i="7"/>
  <c r="G331" i="7"/>
  <c r="H331" i="7"/>
  <c r="I331" i="7"/>
  <c r="E332" i="7"/>
  <c r="F332" i="7"/>
  <c r="G332" i="7"/>
  <c r="H332" i="7"/>
  <c r="I332" i="7"/>
  <c r="E333" i="7"/>
  <c r="F333" i="7"/>
  <c r="G333" i="7"/>
  <c r="H333" i="7"/>
  <c r="I333" i="7"/>
  <c r="E334" i="7"/>
  <c r="F334" i="7"/>
  <c r="G334" i="7"/>
  <c r="H334" i="7"/>
  <c r="I334" i="7"/>
  <c r="E335" i="7"/>
  <c r="F335" i="7"/>
  <c r="G335" i="7"/>
  <c r="H335" i="7"/>
  <c r="I335" i="7"/>
  <c r="E336" i="7"/>
  <c r="F336" i="7"/>
  <c r="G336" i="7"/>
  <c r="H336" i="7"/>
  <c r="I336" i="7"/>
  <c r="E337" i="7"/>
  <c r="F337" i="7"/>
  <c r="G337" i="7"/>
  <c r="H337" i="7"/>
  <c r="I337" i="7"/>
  <c r="E338" i="7"/>
  <c r="F338" i="7"/>
  <c r="G338" i="7"/>
  <c r="H338" i="7"/>
  <c r="I338" i="7"/>
  <c r="E339" i="7"/>
  <c r="F339" i="7"/>
  <c r="G339" i="7"/>
  <c r="H339" i="7"/>
  <c r="I339" i="7"/>
  <c r="E340" i="7"/>
  <c r="F340" i="7"/>
  <c r="G340" i="7"/>
  <c r="H340" i="7"/>
  <c r="I340" i="7"/>
  <c r="E341" i="7"/>
  <c r="F341" i="7"/>
  <c r="G341" i="7"/>
  <c r="H341" i="7"/>
  <c r="I341" i="7"/>
  <c r="E342" i="7"/>
  <c r="F342" i="7"/>
  <c r="G342" i="7"/>
  <c r="H342" i="7"/>
  <c r="I342" i="7"/>
  <c r="E343" i="7"/>
  <c r="F343" i="7"/>
  <c r="G343" i="7"/>
  <c r="H343" i="7"/>
  <c r="I343" i="7"/>
  <c r="E344" i="7"/>
  <c r="F344" i="7"/>
  <c r="G344" i="7"/>
  <c r="H344" i="7"/>
  <c r="I344" i="7"/>
  <c r="E345" i="7"/>
  <c r="F345" i="7"/>
  <c r="G345" i="7"/>
  <c r="H345" i="7"/>
  <c r="I345" i="7"/>
  <c r="E346" i="7"/>
  <c r="F346" i="7"/>
  <c r="G346" i="7"/>
  <c r="H346" i="7"/>
  <c r="I346" i="7"/>
  <c r="E347" i="7"/>
  <c r="F347" i="7"/>
  <c r="G347" i="7"/>
  <c r="H347" i="7"/>
  <c r="I347" i="7"/>
  <c r="E348" i="7"/>
  <c r="F348" i="7"/>
  <c r="G348" i="7"/>
  <c r="H348" i="7"/>
  <c r="I348" i="7"/>
  <c r="E349" i="7"/>
  <c r="F349" i="7"/>
  <c r="G349" i="7"/>
  <c r="H349" i="7"/>
  <c r="I349" i="7"/>
  <c r="J12" i="8"/>
  <c r="E11" i="8"/>
  <c r="E325" i="7"/>
  <c r="F325" i="7"/>
  <c r="G325" i="7"/>
  <c r="H325" i="7"/>
  <c r="I325" i="7"/>
  <c r="D9" i="5" l="1"/>
  <c r="E8" i="5"/>
  <c r="G192" i="3"/>
  <c r="D192" i="3" s="1"/>
  <c r="G184" i="3"/>
  <c r="D184" i="3" s="1"/>
  <c r="G186" i="3"/>
  <c r="D186" i="3" s="1"/>
  <c r="G187" i="3"/>
  <c r="D187" i="3" s="1"/>
  <c r="G194" i="3"/>
  <c r="D194" i="3" s="1"/>
  <c r="G188" i="3"/>
  <c r="D188" i="3" s="1"/>
  <c r="K353" i="7"/>
  <c r="K354" i="7" s="1"/>
  <c r="K355" i="7" s="1"/>
  <c r="K356" i="7" s="1"/>
  <c r="K357" i="7" s="1"/>
  <c r="K358" i="7" s="1"/>
  <c r="K359" i="7" s="1"/>
  <c r="K360" i="7" s="1"/>
  <c r="K361" i="7" s="1"/>
  <c r="K362" i="7" s="1"/>
  <c r="K363" i="7" s="1"/>
  <c r="K364" i="7" s="1"/>
  <c r="K365" i="7" s="1"/>
  <c r="K366" i="7" s="1"/>
  <c r="K367" i="7" s="1"/>
  <c r="K368" i="7" s="1"/>
  <c r="K369" i="7" s="1"/>
  <c r="K370" i="7" s="1"/>
  <c r="K371" i="7" s="1"/>
  <c r="K372" i="7" s="1"/>
  <c r="K373" i="7" s="1"/>
  <c r="K374" i="7" s="1"/>
  <c r="K375" i="7" s="1"/>
  <c r="G189" i="3"/>
  <c r="D189" i="3" s="1"/>
  <c r="I6" i="8"/>
  <c r="I4" i="8"/>
  <c r="I3" i="8"/>
  <c r="E12" i="8"/>
  <c r="E10" i="8"/>
  <c r="E9" i="8"/>
  <c r="E8" i="8"/>
  <c r="E7" i="8"/>
  <c r="E6" i="8"/>
  <c r="E5" i="8"/>
  <c r="E4" i="8"/>
  <c r="E3" i="8"/>
  <c r="E2" i="8"/>
  <c r="E171" i="3"/>
  <c r="E170" i="3"/>
  <c r="E169" i="3"/>
  <c r="E168" i="3"/>
  <c r="E167" i="3"/>
  <c r="E166" i="3"/>
  <c r="E165" i="3"/>
  <c r="E164" i="3"/>
  <c r="E163" i="3"/>
  <c r="E162" i="3"/>
  <c r="E323" i="7"/>
  <c r="G324" i="7"/>
  <c r="E324" i="7"/>
  <c r="F324" i="7"/>
  <c r="H324" i="7"/>
  <c r="I324" i="7"/>
  <c r="I320" i="7"/>
  <c r="E320" i="7"/>
  <c r="F320" i="7"/>
  <c r="G320" i="7"/>
  <c r="H320" i="7"/>
  <c r="E321" i="7"/>
  <c r="F321" i="7"/>
  <c r="G321" i="7"/>
  <c r="H321" i="7"/>
  <c r="E322" i="7"/>
  <c r="F322" i="7"/>
  <c r="G322" i="7"/>
  <c r="H322" i="7"/>
  <c r="I323" i="7"/>
  <c r="F323" i="7"/>
  <c r="G323" i="7"/>
  <c r="H323" i="7"/>
  <c r="I319" i="7"/>
  <c r="E319" i="7"/>
  <c r="F319" i="7"/>
  <c r="G319" i="7"/>
  <c r="H319" i="7"/>
  <c r="E318" i="7"/>
  <c r="F318" i="7"/>
  <c r="G318" i="7"/>
  <c r="H318" i="7"/>
  <c r="I318" i="7"/>
  <c r="I7" i="8"/>
  <c r="I8" i="8"/>
  <c r="I9" i="8"/>
  <c r="I10" i="8"/>
  <c r="I2" i="8"/>
  <c r="E161" i="3"/>
  <c r="E160" i="3"/>
  <c r="E159" i="3"/>
  <c r="E158" i="3"/>
  <c r="E157" i="3"/>
  <c r="E156" i="3"/>
  <c r="E155" i="3"/>
  <c r="E154" i="3"/>
  <c r="E153" i="3"/>
  <c r="E152" i="3"/>
  <c r="E315" i="7"/>
  <c r="F315" i="7"/>
  <c r="G315" i="7"/>
  <c r="H315" i="7"/>
  <c r="E316" i="7"/>
  <c r="F316" i="7"/>
  <c r="G316" i="7"/>
  <c r="H316" i="7"/>
  <c r="E317" i="7"/>
  <c r="F317" i="7"/>
  <c r="G317" i="7"/>
  <c r="H317" i="7"/>
  <c r="E312" i="7"/>
  <c r="F312" i="7"/>
  <c r="G312" i="7"/>
  <c r="H312" i="7"/>
  <c r="E313" i="7"/>
  <c r="F313" i="7"/>
  <c r="G313" i="7"/>
  <c r="H313" i="7"/>
  <c r="E314" i="7"/>
  <c r="F314" i="7"/>
  <c r="G314" i="7"/>
  <c r="H314" i="7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309" i="7"/>
  <c r="F309" i="7"/>
  <c r="G309" i="7"/>
  <c r="H309" i="7"/>
  <c r="E310" i="7"/>
  <c r="F310" i="7"/>
  <c r="G310" i="7"/>
  <c r="H310" i="7"/>
  <c r="E311" i="7"/>
  <c r="F311" i="7"/>
  <c r="G311" i="7"/>
  <c r="H311" i="7"/>
  <c r="G306" i="7"/>
  <c r="E305" i="7"/>
  <c r="F305" i="7"/>
  <c r="G305" i="7"/>
  <c r="H305" i="7"/>
  <c r="I305" i="7"/>
  <c r="E306" i="7"/>
  <c r="F306" i="7"/>
  <c r="H306" i="7"/>
  <c r="E307" i="7"/>
  <c r="F307" i="7"/>
  <c r="G307" i="7"/>
  <c r="H307" i="7"/>
  <c r="E308" i="7"/>
  <c r="F308" i="7"/>
  <c r="G308" i="7"/>
  <c r="H308" i="7"/>
  <c r="G131" i="3"/>
  <c r="D131" i="3" s="1"/>
  <c r="E131" i="3"/>
  <c r="G130" i="3"/>
  <c r="D130" i="3" s="1"/>
  <c r="E130" i="3"/>
  <c r="G129" i="3"/>
  <c r="D129" i="3" s="1"/>
  <c r="E129" i="3"/>
  <c r="G128" i="3"/>
  <c r="D128" i="3" s="1"/>
  <c r="E128" i="3"/>
  <c r="G127" i="3"/>
  <c r="D127" i="3" s="1"/>
  <c r="E127" i="3"/>
  <c r="G126" i="3"/>
  <c r="D126" i="3" s="1"/>
  <c r="E126" i="3"/>
  <c r="G125" i="3"/>
  <c r="D125" i="3" s="1"/>
  <c r="E125" i="3"/>
  <c r="G124" i="3"/>
  <c r="D124" i="3" s="1"/>
  <c r="E124" i="3"/>
  <c r="G123" i="3"/>
  <c r="D123" i="3" s="1"/>
  <c r="E123" i="3"/>
  <c r="G122" i="3"/>
  <c r="D122" i="3" s="1"/>
  <c r="E122" i="3"/>
  <c r="E303" i="7"/>
  <c r="F303" i="7"/>
  <c r="G303" i="7"/>
  <c r="H303" i="7"/>
  <c r="I303" i="7"/>
  <c r="E304" i="7"/>
  <c r="F304" i="7"/>
  <c r="G304" i="7"/>
  <c r="H304" i="7"/>
  <c r="I304" i="7"/>
  <c r="E302" i="7"/>
  <c r="F302" i="7"/>
  <c r="G302" i="7"/>
  <c r="H302" i="7"/>
  <c r="I302" i="7"/>
  <c r="G121" i="3"/>
  <c r="D121" i="3" s="1"/>
  <c r="E121" i="3"/>
  <c r="G120" i="3"/>
  <c r="D120" i="3" s="1"/>
  <c r="E120" i="3"/>
  <c r="G119" i="3"/>
  <c r="D119" i="3" s="1"/>
  <c r="E119" i="3"/>
  <c r="G118" i="3"/>
  <c r="D118" i="3" s="1"/>
  <c r="E118" i="3"/>
  <c r="G117" i="3"/>
  <c r="D117" i="3" s="1"/>
  <c r="E117" i="3"/>
  <c r="G116" i="3"/>
  <c r="D116" i="3" s="1"/>
  <c r="E116" i="3"/>
  <c r="G115" i="3"/>
  <c r="D115" i="3" s="1"/>
  <c r="E115" i="3"/>
  <c r="G114" i="3"/>
  <c r="D114" i="3" s="1"/>
  <c r="E114" i="3"/>
  <c r="G113" i="3"/>
  <c r="D113" i="3" s="1"/>
  <c r="E113" i="3"/>
  <c r="G112" i="3"/>
  <c r="D112" i="3" s="1"/>
  <c r="E112" i="3"/>
  <c r="E301" i="7"/>
  <c r="F301" i="7"/>
  <c r="G301" i="7"/>
  <c r="H301" i="7"/>
  <c r="I301" i="7"/>
  <c r="E298" i="7"/>
  <c r="F298" i="7"/>
  <c r="G298" i="7"/>
  <c r="H298" i="7"/>
  <c r="I298" i="7"/>
  <c r="E299" i="7"/>
  <c r="F299" i="7"/>
  <c r="G299" i="7"/>
  <c r="H299" i="7"/>
  <c r="I299" i="7"/>
  <c r="E300" i="7"/>
  <c r="F300" i="7"/>
  <c r="G300" i="7"/>
  <c r="H300" i="7"/>
  <c r="I300" i="7"/>
  <c r="G111" i="3"/>
  <c r="D111" i="3" s="1"/>
  <c r="E111" i="3"/>
  <c r="G110" i="3"/>
  <c r="D110" i="3" s="1"/>
  <c r="E110" i="3"/>
  <c r="G109" i="3"/>
  <c r="D109" i="3" s="1"/>
  <c r="E109" i="3"/>
  <c r="G108" i="3"/>
  <c r="D108" i="3" s="1"/>
  <c r="E108" i="3"/>
  <c r="G107" i="3"/>
  <c r="D107" i="3" s="1"/>
  <c r="E107" i="3"/>
  <c r="G106" i="3"/>
  <c r="D106" i="3" s="1"/>
  <c r="E106" i="3"/>
  <c r="G105" i="3"/>
  <c r="D105" i="3" s="1"/>
  <c r="E105" i="3"/>
  <c r="G104" i="3"/>
  <c r="D104" i="3" s="1"/>
  <c r="E104" i="3"/>
  <c r="G103" i="3"/>
  <c r="D103" i="3" s="1"/>
  <c r="E103" i="3"/>
  <c r="G102" i="3"/>
  <c r="D102" i="3" s="1"/>
  <c r="E102" i="3"/>
  <c r="G101" i="3"/>
  <c r="D101" i="3" s="1"/>
  <c r="E101" i="3"/>
  <c r="I294" i="7"/>
  <c r="E294" i="7"/>
  <c r="F294" i="7"/>
  <c r="G294" i="7"/>
  <c r="H294" i="7"/>
  <c r="E295" i="7"/>
  <c r="F295" i="7"/>
  <c r="G295" i="7"/>
  <c r="H295" i="7"/>
  <c r="I295" i="7"/>
  <c r="E296" i="7"/>
  <c r="F296" i="7"/>
  <c r="G296" i="7"/>
  <c r="H296" i="7"/>
  <c r="E297" i="7"/>
  <c r="F297" i="7"/>
  <c r="G297" i="7"/>
  <c r="H297" i="7"/>
  <c r="I293" i="7"/>
  <c r="E292" i="7"/>
  <c r="F292" i="7"/>
  <c r="G292" i="7"/>
  <c r="H292" i="7"/>
  <c r="I292" i="7"/>
  <c r="E293" i="7"/>
  <c r="F293" i="7"/>
  <c r="G293" i="7"/>
  <c r="H293" i="7"/>
  <c r="G100" i="3"/>
  <c r="D100" i="3" s="1"/>
  <c r="E100" i="3"/>
  <c r="G99" i="3"/>
  <c r="D99" i="3" s="1"/>
  <c r="E99" i="3"/>
  <c r="G98" i="3"/>
  <c r="D98" i="3" s="1"/>
  <c r="E98" i="3"/>
  <c r="G97" i="3"/>
  <c r="D97" i="3" s="1"/>
  <c r="E97" i="3"/>
  <c r="G96" i="3"/>
  <c r="D96" i="3" s="1"/>
  <c r="E96" i="3"/>
  <c r="G95" i="3"/>
  <c r="D95" i="3" s="1"/>
  <c r="E95" i="3"/>
  <c r="G94" i="3"/>
  <c r="D94" i="3" s="1"/>
  <c r="E94" i="3"/>
  <c r="G93" i="3"/>
  <c r="D93" i="3" s="1"/>
  <c r="E93" i="3"/>
  <c r="G92" i="3"/>
  <c r="D92" i="3" s="1"/>
  <c r="E92" i="3"/>
  <c r="G91" i="3"/>
  <c r="D91" i="3" s="1"/>
  <c r="E91" i="3"/>
  <c r="G90" i="3"/>
  <c r="D90" i="3" s="1"/>
  <c r="E90" i="3"/>
  <c r="E290" i="7"/>
  <c r="F290" i="7"/>
  <c r="G290" i="7"/>
  <c r="H290" i="7"/>
  <c r="I290" i="7"/>
  <c r="E291" i="7"/>
  <c r="F291" i="7"/>
  <c r="G291" i="7"/>
  <c r="H291" i="7"/>
  <c r="I291" i="7"/>
  <c r="I289" i="7"/>
  <c r="E289" i="7"/>
  <c r="F289" i="7"/>
  <c r="G289" i="7"/>
  <c r="H289" i="7"/>
  <c r="G89" i="3"/>
  <c r="D89" i="3" s="1"/>
  <c r="E89" i="3"/>
  <c r="G88" i="3"/>
  <c r="D88" i="3" s="1"/>
  <c r="E88" i="3"/>
  <c r="G87" i="3"/>
  <c r="D87" i="3" s="1"/>
  <c r="E87" i="3"/>
  <c r="G86" i="3"/>
  <c r="D86" i="3" s="1"/>
  <c r="E86" i="3"/>
  <c r="G85" i="3"/>
  <c r="D85" i="3" s="1"/>
  <c r="E85" i="3"/>
  <c r="G84" i="3"/>
  <c r="D84" i="3" s="1"/>
  <c r="E84" i="3"/>
  <c r="G83" i="3"/>
  <c r="D83" i="3" s="1"/>
  <c r="E83" i="3"/>
  <c r="G82" i="3"/>
  <c r="D82" i="3" s="1"/>
  <c r="E82" i="3"/>
  <c r="G81" i="3"/>
  <c r="D81" i="3" s="1"/>
  <c r="E81" i="3"/>
  <c r="G80" i="3"/>
  <c r="D80" i="3" s="1"/>
  <c r="E80" i="3"/>
  <c r="G79" i="3"/>
  <c r="D79" i="3" s="1"/>
  <c r="E79" i="3"/>
  <c r="E287" i="7"/>
  <c r="F287" i="7"/>
  <c r="G287" i="7"/>
  <c r="H287" i="7"/>
  <c r="I287" i="7"/>
  <c r="E288" i="7"/>
  <c r="F288" i="7"/>
  <c r="G288" i="7"/>
  <c r="H288" i="7"/>
  <c r="I288" i="7"/>
  <c r="E286" i="7"/>
  <c r="F286" i="7"/>
  <c r="G286" i="7"/>
  <c r="H286" i="7"/>
  <c r="I286" i="7"/>
  <c r="G78" i="3"/>
  <c r="D78" i="3" s="1"/>
  <c r="E78" i="3"/>
  <c r="G77" i="3"/>
  <c r="D77" i="3" s="1"/>
  <c r="E77" i="3"/>
  <c r="G76" i="3"/>
  <c r="D76" i="3" s="1"/>
  <c r="E76" i="3"/>
  <c r="G75" i="3"/>
  <c r="D75" i="3" s="1"/>
  <c r="E75" i="3"/>
  <c r="G74" i="3"/>
  <c r="D74" i="3" s="1"/>
  <c r="E74" i="3"/>
  <c r="G73" i="3"/>
  <c r="D73" i="3" s="1"/>
  <c r="E73" i="3"/>
  <c r="G72" i="3"/>
  <c r="D72" i="3" s="1"/>
  <c r="E72" i="3"/>
  <c r="G71" i="3"/>
  <c r="D71" i="3" s="1"/>
  <c r="E71" i="3"/>
  <c r="G70" i="3"/>
  <c r="D70" i="3" s="1"/>
  <c r="E70" i="3"/>
  <c r="G69" i="3"/>
  <c r="D69" i="3" s="1"/>
  <c r="E69" i="3"/>
  <c r="G68" i="3"/>
  <c r="D68" i="3" s="1"/>
  <c r="E68" i="3"/>
  <c r="E285" i="7"/>
  <c r="F285" i="7"/>
  <c r="G285" i="7"/>
  <c r="H285" i="7"/>
  <c r="I285" i="7"/>
  <c r="E283" i="7"/>
  <c r="F283" i="7"/>
  <c r="G283" i="7"/>
  <c r="H283" i="7"/>
  <c r="I283" i="7"/>
  <c r="E284" i="7"/>
  <c r="F284" i="7"/>
  <c r="G284" i="7"/>
  <c r="H284" i="7"/>
  <c r="I284" i="7"/>
  <c r="G67" i="3"/>
  <c r="D67" i="3" s="1"/>
  <c r="E67" i="3"/>
  <c r="G66" i="3"/>
  <c r="D66" i="3" s="1"/>
  <c r="E66" i="3"/>
  <c r="G65" i="3"/>
  <c r="D65" i="3" s="1"/>
  <c r="E65" i="3"/>
  <c r="G64" i="3"/>
  <c r="D64" i="3" s="1"/>
  <c r="E64" i="3"/>
  <c r="G63" i="3"/>
  <c r="D63" i="3" s="1"/>
  <c r="E63" i="3"/>
  <c r="G62" i="3"/>
  <c r="D62" i="3" s="1"/>
  <c r="E62" i="3"/>
  <c r="G61" i="3"/>
  <c r="D61" i="3" s="1"/>
  <c r="E61" i="3"/>
  <c r="G60" i="3"/>
  <c r="D60" i="3" s="1"/>
  <c r="E60" i="3"/>
  <c r="G59" i="3"/>
  <c r="D59" i="3" s="1"/>
  <c r="E59" i="3"/>
  <c r="G58" i="3"/>
  <c r="D58" i="3" s="1"/>
  <c r="E58" i="3"/>
  <c r="G57" i="3"/>
  <c r="D57" i="3" s="1"/>
  <c r="E57" i="3"/>
  <c r="E282" i="7"/>
  <c r="F282" i="7"/>
  <c r="G282" i="7"/>
  <c r="H282" i="7"/>
  <c r="I282" i="7"/>
  <c r="G281" i="7"/>
  <c r="G56" i="3"/>
  <c r="D56" i="3" s="1"/>
  <c r="E56" i="3"/>
  <c r="G55" i="3"/>
  <c r="D55" i="3" s="1"/>
  <c r="E55" i="3"/>
  <c r="G54" i="3"/>
  <c r="D54" i="3" s="1"/>
  <c r="E54" i="3"/>
  <c r="G53" i="3"/>
  <c r="D53" i="3" s="1"/>
  <c r="E53" i="3"/>
  <c r="G52" i="3"/>
  <c r="D52" i="3" s="1"/>
  <c r="E52" i="3"/>
  <c r="G51" i="3"/>
  <c r="D51" i="3" s="1"/>
  <c r="E51" i="3"/>
  <c r="G50" i="3"/>
  <c r="D50" i="3" s="1"/>
  <c r="E50" i="3"/>
  <c r="G49" i="3"/>
  <c r="D49" i="3" s="1"/>
  <c r="E49" i="3"/>
  <c r="G48" i="3"/>
  <c r="D48" i="3" s="1"/>
  <c r="E48" i="3"/>
  <c r="G47" i="3"/>
  <c r="D47" i="3" s="1"/>
  <c r="E47" i="3"/>
  <c r="G46" i="3"/>
  <c r="D46" i="3" s="1"/>
  <c r="E46" i="3"/>
  <c r="E281" i="7"/>
  <c r="F281" i="7"/>
  <c r="H281" i="7"/>
  <c r="I281" i="7"/>
  <c r="E280" i="7"/>
  <c r="F280" i="7"/>
  <c r="G280" i="7"/>
  <c r="H280" i="7"/>
  <c r="I280" i="7"/>
  <c r="G36" i="3"/>
  <c r="D36" i="3" s="1"/>
  <c r="G37" i="3"/>
  <c r="D37" i="3" s="1"/>
  <c r="G38" i="3"/>
  <c r="D38" i="3" s="1"/>
  <c r="G39" i="3"/>
  <c r="D39" i="3" s="1"/>
  <c r="G40" i="3"/>
  <c r="D40" i="3" s="1"/>
  <c r="G41" i="3"/>
  <c r="D41" i="3" s="1"/>
  <c r="G42" i="3"/>
  <c r="D42" i="3" s="1"/>
  <c r="G43" i="3"/>
  <c r="D43" i="3" s="1"/>
  <c r="G44" i="3"/>
  <c r="D44" i="3" s="1"/>
  <c r="G45" i="3"/>
  <c r="D45" i="3" s="1"/>
  <c r="G35" i="3"/>
  <c r="D35" i="3" s="1"/>
  <c r="E45" i="3"/>
  <c r="E44" i="3"/>
  <c r="E43" i="3"/>
  <c r="E42" i="3"/>
  <c r="E41" i="3"/>
  <c r="E40" i="3"/>
  <c r="E39" i="3"/>
  <c r="E38" i="3"/>
  <c r="E37" i="3"/>
  <c r="E36" i="3"/>
  <c r="E35" i="3"/>
  <c r="E276" i="7"/>
  <c r="F276" i="7"/>
  <c r="G276" i="7"/>
  <c r="H276" i="7"/>
  <c r="I276" i="7"/>
  <c r="E277" i="7"/>
  <c r="F277" i="7"/>
  <c r="G277" i="7"/>
  <c r="H277" i="7"/>
  <c r="I277" i="7"/>
  <c r="E278" i="7"/>
  <c r="F278" i="7"/>
  <c r="G278" i="7"/>
  <c r="H278" i="7"/>
  <c r="I278" i="7"/>
  <c r="E279" i="7"/>
  <c r="F279" i="7"/>
  <c r="G279" i="7"/>
  <c r="H279" i="7"/>
  <c r="I279" i="7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73" i="7"/>
  <c r="F273" i="7"/>
  <c r="G273" i="7"/>
  <c r="H273" i="7"/>
  <c r="I273" i="7"/>
  <c r="E274" i="7"/>
  <c r="F274" i="7"/>
  <c r="G274" i="7"/>
  <c r="H274" i="7"/>
  <c r="I274" i="7"/>
  <c r="E275" i="7"/>
  <c r="F275" i="7"/>
  <c r="G275" i="7"/>
  <c r="H275" i="7"/>
  <c r="I275" i="7"/>
  <c r="E271" i="7"/>
  <c r="F271" i="7"/>
  <c r="G271" i="7"/>
  <c r="H271" i="7"/>
  <c r="I271" i="7"/>
  <c r="E272" i="7"/>
  <c r="F272" i="7"/>
  <c r="G272" i="7"/>
  <c r="H272" i="7"/>
  <c r="I272" i="7"/>
  <c r="B6" i="5"/>
  <c r="B3" i="5"/>
  <c r="C2" i="5"/>
  <c r="D2" i="5" s="1"/>
  <c r="E269" i="7"/>
  <c r="F269" i="7"/>
  <c r="G269" i="7"/>
  <c r="H269" i="7"/>
  <c r="I269" i="7"/>
  <c r="E270" i="7"/>
  <c r="F270" i="7"/>
  <c r="G270" i="7"/>
  <c r="H270" i="7"/>
  <c r="I270" i="7"/>
  <c r="E43" i="7"/>
  <c r="F43" i="7"/>
  <c r="G43" i="7"/>
  <c r="I43" i="7"/>
  <c r="E44" i="7"/>
  <c r="F44" i="7"/>
  <c r="G44" i="7"/>
  <c r="I44" i="7"/>
  <c r="E45" i="7"/>
  <c r="F45" i="7"/>
  <c r="G45" i="7"/>
  <c r="I45" i="7"/>
  <c r="E46" i="7"/>
  <c r="F46" i="7"/>
  <c r="G46" i="7"/>
  <c r="I46" i="7"/>
  <c r="E47" i="7"/>
  <c r="F47" i="7"/>
  <c r="G47" i="7"/>
  <c r="I47" i="7"/>
  <c r="E48" i="7"/>
  <c r="F48" i="7"/>
  <c r="G48" i="7"/>
  <c r="I48" i="7"/>
  <c r="E49" i="7"/>
  <c r="F49" i="7"/>
  <c r="G49" i="7"/>
  <c r="I49" i="7"/>
  <c r="E50" i="7"/>
  <c r="F50" i="7"/>
  <c r="G50" i="7"/>
  <c r="I50" i="7"/>
  <c r="E51" i="7"/>
  <c r="F51" i="7"/>
  <c r="G51" i="7"/>
  <c r="I51" i="7"/>
  <c r="E52" i="7"/>
  <c r="F52" i="7"/>
  <c r="G52" i="7"/>
  <c r="I52" i="7"/>
  <c r="E53" i="7"/>
  <c r="F53" i="7"/>
  <c r="G53" i="7"/>
  <c r="I53" i="7"/>
  <c r="E54" i="7"/>
  <c r="F54" i="7"/>
  <c r="G54" i="7"/>
  <c r="I54" i="7"/>
  <c r="E55" i="7"/>
  <c r="F55" i="7"/>
  <c r="G55" i="7"/>
  <c r="I55" i="7"/>
  <c r="E56" i="7"/>
  <c r="F56" i="7"/>
  <c r="G56" i="7"/>
  <c r="I56" i="7"/>
  <c r="E57" i="7"/>
  <c r="F57" i="7"/>
  <c r="G57" i="7"/>
  <c r="I57" i="7"/>
  <c r="E58" i="7"/>
  <c r="F58" i="7"/>
  <c r="G58" i="7"/>
  <c r="I58" i="7"/>
  <c r="E59" i="7"/>
  <c r="F59" i="7"/>
  <c r="G59" i="7"/>
  <c r="I59" i="7"/>
  <c r="E60" i="7"/>
  <c r="F60" i="7"/>
  <c r="G60" i="7"/>
  <c r="I60" i="7"/>
  <c r="E61" i="7"/>
  <c r="F61" i="7"/>
  <c r="G61" i="7"/>
  <c r="I61" i="7"/>
  <c r="E62" i="7"/>
  <c r="F62" i="7"/>
  <c r="G62" i="7"/>
  <c r="I62" i="7"/>
  <c r="E63" i="7"/>
  <c r="F63" i="7"/>
  <c r="G63" i="7"/>
  <c r="I63" i="7"/>
  <c r="E64" i="7"/>
  <c r="F64" i="7"/>
  <c r="G64" i="7"/>
  <c r="I64" i="7"/>
  <c r="E65" i="7"/>
  <c r="F65" i="7"/>
  <c r="G65" i="7"/>
  <c r="I65" i="7"/>
  <c r="E66" i="7"/>
  <c r="F66" i="7"/>
  <c r="G66" i="7"/>
  <c r="I66" i="7"/>
  <c r="E67" i="7"/>
  <c r="F67" i="7"/>
  <c r="G67" i="7"/>
  <c r="I67" i="7"/>
  <c r="E68" i="7"/>
  <c r="F68" i="7"/>
  <c r="G68" i="7"/>
  <c r="I68" i="7"/>
  <c r="E69" i="7"/>
  <c r="F69" i="7"/>
  <c r="G69" i="7"/>
  <c r="I69" i="7"/>
  <c r="E70" i="7"/>
  <c r="F70" i="7"/>
  <c r="G70" i="7"/>
  <c r="I70" i="7"/>
  <c r="E71" i="7"/>
  <c r="F71" i="7"/>
  <c r="G71" i="7"/>
  <c r="I71" i="7"/>
  <c r="E72" i="7"/>
  <c r="F72" i="7"/>
  <c r="G72" i="7"/>
  <c r="I72" i="7"/>
  <c r="E73" i="7"/>
  <c r="F73" i="7"/>
  <c r="G73" i="7"/>
  <c r="I73" i="7"/>
  <c r="E74" i="7"/>
  <c r="F74" i="7"/>
  <c r="G74" i="7"/>
  <c r="I74" i="7"/>
  <c r="E75" i="7"/>
  <c r="F75" i="7"/>
  <c r="G75" i="7"/>
  <c r="I75" i="7"/>
  <c r="E76" i="7"/>
  <c r="F76" i="7"/>
  <c r="G76" i="7"/>
  <c r="I76" i="7"/>
  <c r="E77" i="7"/>
  <c r="F77" i="7"/>
  <c r="G77" i="7"/>
  <c r="I77" i="7"/>
  <c r="E78" i="7"/>
  <c r="F78" i="7"/>
  <c r="G78" i="7"/>
  <c r="I78" i="7"/>
  <c r="E79" i="7"/>
  <c r="F79" i="7"/>
  <c r="G79" i="7"/>
  <c r="I79" i="7"/>
  <c r="E80" i="7"/>
  <c r="F80" i="7"/>
  <c r="G80" i="7"/>
  <c r="I80" i="7"/>
  <c r="E81" i="7"/>
  <c r="F81" i="7"/>
  <c r="G81" i="7"/>
  <c r="I81" i="7"/>
  <c r="E82" i="7"/>
  <c r="F82" i="7"/>
  <c r="G82" i="7"/>
  <c r="I82" i="7"/>
  <c r="E83" i="7"/>
  <c r="F83" i="7"/>
  <c r="G83" i="7"/>
  <c r="I83" i="7"/>
  <c r="E84" i="7"/>
  <c r="F84" i="7"/>
  <c r="G84" i="7"/>
  <c r="I84" i="7"/>
  <c r="E85" i="7"/>
  <c r="F85" i="7"/>
  <c r="G85" i="7"/>
  <c r="I85" i="7"/>
  <c r="E86" i="7"/>
  <c r="F86" i="7"/>
  <c r="G86" i="7"/>
  <c r="I86" i="7"/>
  <c r="E87" i="7"/>
  <c r="F87" i="7"/>
  <c r="G87" i="7"/>
  <c r="I87" i="7"/>
  <c r="E88" i="7"/>
  <c r="F88" i="7"/>
  <c r="G88" i="7"/>
  <c r="I88" i="7"/>
  <c r="E89" i="7"/>
  <c r="F89" i="7"/>
  <c r="G89" i="7"/>
  <c r="I89" i="7"/>
  <c r="E90" i="7"/>
  <c r="F90" i="7"/>
  <c r="G90" i="7"/>
  <c r="I90" i="7"/>
  <c r="E91" i="7"/>
  <c r="F91" i="7"/>
  <c r="G91" i="7"/>
  <c r="I91" i="7"/>
  <c r="E92" i="7"/>
  <c r="F92" i="7"/>
  <c r="G92" i="7"/>
  <c r="I92" i="7"/>
  <c r="E93" i="7"/>
  <c r="F93" i="7"/>
  <c r="G93" i="7"/>
  <c r="I93" i="7"/>
  <c r="E94" i="7"/>
  <c r="F94" i="7"/>
  <c r="G94" i="7"/>
  <c r="I94" i="7"/>
  <c r="E95" i="7"/>
  <c r="F95" i="7"/>
  <c r="G95" i="7"/>
  <c r="I95" i="7"/>
  <c r="E96" i="7"/>
  <c r="F96" i="7"/>
  <c r="G96" i="7"/>
  <c r="I96" i="7"/>
  <c r="E97" i="7"/>
  <c r="F97" i="7"/>
  <c r="G97" i="7"/>
  <c r="I97" i="7"/>
  <c r="E98" i="7"/>
  <c r="F98" i="7"/>
  <c r="G98" i="7"/>
  <c r="I98" i="7"/>
  <c r="E99" i="7"/>
  <c r="F99" i="7"/>
  <c r="G99" i="7"/>
  <c r="I99" i="7"/>
  <c r="E100" i="7"/>
  <c r="F100" i="7"/>
  <c r="G100" i="7"/>
  <c r="I100" i="7"/>
  <c r="E101" i="7"/>
  <c r="F101" i="7"/>
  <c r="G101" i="7"/>
  <c r="I101" i="7"/>
  <c r="E102" i="7"/>
  <c r="F102" i="7"/>
  <c r="G102" i="7"/>
  <c r="I102" i="7"/>
  <c r="E103" i="7"/>
  <c r="F103" i="7"/>
  <c r="G103" i="7"/>
  <c r="I103" i="7"/>
  <c r="E104" i="7"/>
  <c r="F104" i="7"/>
  <c r="G104" i="7"/>
  <c r="I104" i="7"/>
  <c r="E105" i="7"/>
  <c r="F105" i="7"/>
  <c r="G105" i="7"/>
  <c r="I105" i="7"/>
  <c r="E106" i="7"/>
  <c r="F106" i="7"/>
  <c r="G106" i="7"/>
  <c r="I106" i="7"/>
  <c r="E107" i="7"/>
  <c r="F107" i="7"/>
  <c r="G107" i="7"/>
  <c r="I107" i="7"/>
  <c r="E108" i="7"/>
  <c r="F108" i="7"/>
  <c r="G108" i="7"/>
  <c r="I108" i="7"/>
  <c r="E109" i="7"/>
  <c r="F109" i="7"/>
  <c r="G109" i="7"/>
  <c r="I109" i="7"/>
  <c r="E110" i="7"/>
  <c r="F110" i="7"/>
  <c r="G110" i="7"/>
  <c r="I110" i="7"/>
  <c r="E111" i="7"/>
  <c r="F111" i="7"/>
  <c r="G111" i="7"/>
  <c r="I111" i="7"/>
  <c r="E112" i="7"/>
  <c r="F112" i="7"/>
  <c r="G112" i="7"/>
  <c r="I112" i="7"/>
  <c r="E113" i="7"/>
  <c r="F113" i="7"/>
  <c r="G113" i="7"/>
  <c r="I113" i="7"/>
  <c r="E114" i="7"/>
  <c r="F114" i="7"/>
  <c r="G114" i="7"/>
  <c r="I114" i="7"/>
  <c r="E115" i="7"/>
  <c r="F115" i="7"/>
  <c r="G115" i="7"/>
  <c r="I115" i="7"/>
  <c r="E116" i="7"/>
  <c r="F116" i="7"/>
  <c r="G116" i="7"/>
  <c r="I116" i="7"/>
  <c r="E117" i="7"/>
  <c r="F117" i="7"/>
  <c r="G117" i="7"/>
  <c r="I117" i="7"/>
  <c r="E118" i="7"/>
  <c r="F118" i="7"/>
  <c r="G118" i="7"/>
  <c r="I118" i="7"/>
  <c r="E119" i="7"/>
  <c r="F119" i="7"/>
  <c r="G119" i="7"/>
  <c r="I119" i="7"/>
  <c r="E120" i="7"/>
  <c r="F120" i="7"/>
  <c r="G120" i="7"/>
  <c r="I120" i="7"/>
  <c r="E121" i="7"/>
  <c r="F121" i="7"/>
  <c r="G121" i="7"/>
  <c r="I121" i="7"/>
  <c r="E122" i="7"/>
  <c r="F122" i="7"/>
  <c r="G122" i="7"/>
  <c r="I122" i="7"/>
  <c r="E123" i="7"/>
  <c r="F123" i="7"/>
  <c r="G123" i="7"/>
  <c r="I123" i="7"/>
  <c r="E124" i="7"/>
  <c r="F124" i="7"/>
  <c r="G124" i="7"/>
  <c r="I124" i="7"/>
  <c r="E125" i="7"/>
  <c r="F125" i="7"/>
  <c r="G125" i="7"/>
  <c r="I125" i="7"/>
  <c r="E126" i="7"/>
  <c r="F126" i="7"/>
  <c r="G126" i="7"/>
  <c r="I126" i="7"/>
  <c r="E127" i="7"/>
  <c r="F127" i="7"/>
  <c r="G127" i="7"/>
  <c r="I127" i="7"/>
  <c r="E128" i="7"/>
  <c r="F128" i="7"/>
  <c r="G128" i="7"/>
  <c r="I128" i="7"/>
  <c r="E129" i="7"/>
  <c r="F129" i="7"/>
  <c r="G129" i="7"/>
  <c r="I129" i="7"/>
  <c r="E130" i="7"/>
  <c r="F130" i="7"/>
  <c r="G130" i="7"/>
  <c r="I130" i="7"/>
  <c r="E131" i="7"/>
  <c r="F131" i="7"/>
  <c r="G131" i="7"/>
  <c r="I131" i="7"/>
  <c r="E132" i="7"/>
  <c r="F132" i="7"/>
  <c r="G132" i="7"/>
  <c r="I132" i="7"/>
  <c r="E133" i="7"/>
  <c r="F133" i="7"/>
  <c r="G133" i="7"/>
  <c r="I133" i="7"/>
  <c r="E134" i="7"/>
  <c r="F134" i="7"/>
  <c r="G134" i="7"/>
  <c r="I134" i="7"/>
  <c r="E135" i="7"/>
  <c r="F135" i="7"/>
  <c r="G135" i="7"/>
  <c r="I135" i="7"/>
  <c r="E136" i="7"/>
  <c r="F136" i="7"/>
  <c r="G136" i="7"/>
  <c r="I136" i="7"/>
  <c r="E137" i="7"/>
  <c r="F137" i="7"/>
  <c r="G137" i="7"/>
  <c r="I137" i="7"/>
  <c r="E138" i="7"/>
  <c r="F138" i="7"/>
  <c r="G138" i="7"/>
  <c r="I138" i="7"/>
  <c r="E139" i="7"/>
  <c r="F139" i="7"/>
  <c r="G139" i="7"/>
  <c r="I139" i="7"/>
  <c r="E140" i="7"/>
  <c r="F140" i="7"/>
  <c r="G140" i="7"/>
  <c r="I140" i="7"/>
  <c r="E141" i="7"/>
  <c r="F141" i="7"/>
  <c r="G141" i="7"/>
  <c r="I141" i="7"/>
  <c r="E142" i="7"/>
  <c r="F142" i="7"/>
  <c r="G142" i="7"/>
  <c r="I142" i="7"/>
  <c r="E143" i="7"/>
  <c r="F143" i="7"/>
  <c r="G143" i="7"/>
  <c r="I143" i="7"/>
  <c r="E144" i="7"/>
  <c r="F144" i="7"/>
  <c r="G144" i="7"/>
  <c r="I144" i="7"/>
  <c r="E145" i="7"/>
  <c r="F145" i="7"/>
  <c r="G145" i="7"/>
  <c r="I145" i="7"/>
  <c r="E146" i="7"/>
  <c r="F146" i="7"/>
  <c r="G146" i="7"/>
  <c r="I146" i="7"/>
  <c r="E147" i="7"/>
  <c r="F147" i="7"/>
  <c r="G147" i="7"/>
  <c r="I147" i="7"/>
  <c r="E148" i="7"/>
  <c r="F148" i="7"/>
  <c r="G148" i="7"/>
  <c r="I148" i="7"/>
  <c r="E149" i="7"/>
  <c r="F149" i="7"/>
  <c r="G149" i="7"/>
  <c r="I149" i="7"/>
  <c r="E150" i="7"/>
  <c r="F150" i="7"/>
  <c r="G150" i="7"/>
  <c r="I150" i="7"/>
  <c r="E151" i="7"/>
  <c r="F151" i="7"/>
  <c r="G151" i="7"/>
  <c r="I151" i="7"/>
  <c r="E152" i="7"/>
  <c r="F152" i="7"/>
  <c r="G152" i="7"/>
  <c r="I152" i="7"/>
  <c r="E153" i="7"/>
  <c r="F153" i="7"/>
  <c r="G153" i="7"/>
  <c r="I153" i="7"/>
  <c r="E154" i="7"/>
  <c r="F154" i="7"/>
  <c r="G154" i="7"/>
  <c r="I154" i="7"/>
  <c r="E155" i="7"/>
  <c r="F155" i="7"/>
  <c r="G155" i="7"/>
  <c r="I155" i="7"/>
  <c r="E156" i="7"/>
  <c r="F156" i="7"/>
  <c r="G156" i="7"/>
  <c r="I156" i="7"/>
  <c r="E157" i="7"/>
  <c r="F157" i="7"/>
  <c r="G157" i="7"/>
  <c r="I157" i="7"/>
  <c r="E158" i="7"/>
  <c r="F158" i="7"/>
  <c r="G158" i="7"/>
  <c r="I158" i="7"/>
  <c r="E159" i="7"/>
  <c r="F159" i="7"/>
  <c r="G159" i="7"/>
  <c r="I159" i="7"/>
  <c r="E160" i="7"/>
  <c r="F160" i="7"/>
  <c r="G160" i="7"/>
  <c r="I160" i="7"/>
  <c r="E161" i="7"/>
  <c r="F161" i="7"/>
  <c r="G161" i="7"/>
  <c r="I161" i="7"/>
  <c r="E162" i="7"/>
  <c r="F162" i="7"/>
  <c r="G162" i="7"/>
  <c r="I162" i="7"/>
  <c r="E163" i="7"/>
  <c r="F163" i="7"/>
  <c r="G163" i="7"/>
  <c r="I163" i="7"/>
  <c r="E164" i="7"/>
  <c r="F164" i="7"/>
  <c r="G164" i="7"/>
  <c r="I164" i="7"/>
  <c r="E165" i="7"/>
  <c r="F165" i="7"/>
  <c r="G165" i="7"/>
  <c r="I165" i="7"/>
  <c r="E166" i="7"/>
  <c r="F166" i="7"/>
  <c r="G166" i="7"/>
  <c r="I166" i="7"/>
  <c r="E167" i="7"/>
  <c r="F167" i="7"/>
  <c r="G167" i="7"/>
  <c r="I167" i="7"/>
  <c r="E168" i="7"/>
  <c r="F168" i="7"/>
  <c r="G168" i="7"/>
  <c r="I168" i="7"/>
  <c r="E169" i="7"/>
  <c r="F169" i="7"/>
  <c r="G169" i="7"/>
  <c r="I169" i="7"/>
  <c r="E170" i="7"/>
  <c r="F170" i="7"/>
  <c r="G170" i="7"/>
  <c r="I170" i="7"/>
  <c r="E171" i="7"/>
  <c r="F171" i="7"/>
  <c r="G171" i="7"/>
  <c r="I171" i="7"/>
  <c r="E172" i="7"/>
  <c r="F172" i="7"/>
  <c r="G172" i="7"/>
  <c r="I172" i="7"/>
  <c r="E173" i="7"/>
  <c r="F173" i="7"/>
  <c r="G173" i="7"/>
  <c r="I173" i="7"/>
  <c r="E174" i="7"/>
  <c r="F174" i="7"/>
  <c r="G174" i="7"/>
  <c r="I174" i="7"/>
  <c r="E175" i="7"/>
  <c r="F175" i="7"/>
  <c r="G175" i="7"/>
  <c r="I175" i="7"/>
  <c r="E176" i="7"/>
  <c r="F176" i="7"/>
  <c r="G176" i="7"/>
  <c r="I176" i="7"/>
  <c r="E177" i="7"/>
  <c r="F177" i="7"/>
  <c r="G177" i="7"/>
  <c r="I177" i="7"/>
  <c r="E178" i="7"/>
  <c r="F178" i="7"/>
  <c r="G178" i="7"/>
  <c r="I178" i="7"/>
  <c r="E179" i="7"/>
  <c r="F179" i="7"/>
  <c r="G179" i="7"/>
  <c r="I179" i="7"/>
  <c r="E180" i="7"/>
  <c r="F180" i="7"/>
  <c r="G180" i="7"/>
  <c r="I180" i="7"/>
  <c r="E181" i="7"/>
  <c r="F181" i="7"/>
  <c r="G181" i="7"/>
  <c r="I181" i="7"/>
  <c r="E182" i="7"/>
  <c r="F182" i="7"/>
  <c r="G182" i="7"/>
  <c r="I182" i="7"/>
  <c r="E183" i="7"/>
  <c r="F183" i="7"/>
  <c r="G183" i="7"/>
  <c r="I183" i="7"/>
  <c r="E184" i="7"/>
  <c r="F184" i="7"/>
  <c r="G184" i="7"/>
  <c r="I184" i="7"/>
  <c r="E185" i="7"/>
  <c r="F185" i="7"/>
  <c r="G185" i="7"/>
  <c r="I185" i="7"/>
  <c r="E186" i="7"/>
  <c r="F186" i="7"/>
  <c r="G186" i="7"/>
  <c r="I186" i="7"/>
  <c r="E187" i="7"/>
  <c r="F187" i="7"/>
  <c r="G187" i="7"/>
  <c r="I187" i="7"/>
  <c r="E188" i="7"/>
  <c r="F188" i="7"/>
  <c r="G188" i="7"/>
  <c r="I188" i="7"/>
  <c r="E189" i="7"/>
  <c r="F189" i="7"/>
  <c r="G189" i="7"/>
  <c r="I189" i="7"/>
  <c r="E190" i="7"/>
  <c r="F190" i="7"/>
  <c r="G190" i="7"/>
  <c r="I190" i="7"/>
  <c r="E191" i="7"/>
  <c r="F191" i="7"/>
  <c r="G191" i="7"/>
  <c r="I191" i="7"/>
  <c r="E192" i="7"/>
  <c r="F192" i="7"/>
  <c r="G192" i="7"/>
  <c r="I192" i="7"/>
  <c r="E193" i="7"/>
  <c r="F193" i="7"/>
  <c r="G193" i="7"/>
  <c r="I193" i="7"/>
  <c r="E194" i="7"/>
  <c r="F194" i="7"/>
  <c r="G194" i="7"/>
  <c r="I194" i="7"/>
  <c r="E195" i="7"/>
  <c r="F195" i="7"/>
  <c r="G195" i="7"/>
  <c r="I195" i="7"/>
  <c r="E196" i="7"/>
  <c r="F196" i="7"/>
  <c r="G196" i="7"/>
  <c r="I196" i="7"/>
  <c r="E197" i="7"/>
  <c r="F197" i="7"/>
  <c r="G197" i="7"/>
  <c r="I197" i="7"/>
  <c r="E198" i="7"/>
  <c r="F198" i="7"/>
  <c r="G198" i="7"/>
  <c r="I198" i="7"/>
  <c r="E199" i="7"/>
  <c r="F199" i="7"/>
  <c r="G199" i="7"/>
  <c r="I199" i="7"/>
  <c r="E200" i="7"/>
  <c r="F200" i="7"/>
  <c r="G200" i="7"/>
  <c r="I200" i="7"/>
  <c r="E201" i="7"/>
  <c r="F201" i="7"/>
  <c r="G201" i="7"/>
  <c r="I201" i="7"/>
  <c r="E202" i="7"/>
  <c r="F202" i="7"/>
  <c r="G202" i="7"/>
  <c r="I202" i="7"/>
  <c r="E203" i="7"/>
  <c r="F203" i="7"/>
  <c r="G203" i="7"/>
  <c r="I203" i="7"/>
  <c r="E204" i="7"/>
  <c r="F204" i="7"/>
  <c r="G204" i="7"/>
  <c r="I204" i="7"/>
  <c r="E205" i="7"/>
  <c r="F205" i="7"/>
  <c r="G205" i="7"/>
  <c r="I205" i="7"/>
  <c r="E206" i="7"/>
  <c r="F206" i="7"/>
  <c r="G206" i="7"/>
  <c r="I206" i="7"/>
  <c r="E207" i="7"/>
  <c r="F207" i="7"/>
  <c r="G207" i="7"/>
  <c r="I207" i="7"/>
  <c r="E208" i="7"/>
  <c r="F208" i="7"/>
  <c r="G208" i="7"/>
  <c r="I208" i="7"/>
  <c r="E209" i="7"/>
  <c r="F209" i="7"/>
  <c r="G209" i="7"/>
  <c r="I209" i="7"/>
  <c r="E210" i="7"/>
  <c r="F210" i="7"/>
  <c r="G210" i="7"/>
  <c r="I210" i="7"/>
  <c r="E211" i="7"/>
  <c r="F211" i="7"/>
  <c r="G211" i="7"/>
  <c r="I211" i="7"/>
  <c r="E212" i="7"/>
  <c r="F212" i="7"/>
  <c r="G212" i="7"/>
  <c r="I212" i="7"/>
  <c r="E213" i="7"/>
  <c r="F213" i="7"/>
  <c r="G213" i="7"/>
  <c r="I213" i="7"/>
  <c r="E214" i="7"/>
  <c r="F214" i="7"/>
  <c r="G214" i="7"/>
  <c r="I214" i="7"/>
  <c r="E215" i="7"/>
  <c r="F215" i="7"/>
  <c r="G215" i="7"/>
  <c r="I215" i="7"/>
  <c r="E216" i="7"/>
  <c r="F216" i="7"/>
  <c r="G216" i="7"/>
  <c r="I216" i="7"/>
  <c r="E217" i="7"/>
  <c r="F217" i="7"/>
  <c r="G217" i="7"/>
  <c r="I217" i="7"/>
  <c r="E218" i="7"/>
  <c r="F218" i="7"/>
  <c r="G218" i="7"/>
  <c r="I218" i="7"/>
  <c r="E219" i="7"/>
  <c r="F219" i="7"/>
  <c r="G219" i="7"/>
  <c r="I219" i="7"/>
  <c r="E220" i="7"/>
  <c r="F220" i="7"/>
  <c r="G220" i="7"/>
  <c r="I220" i="7"/>
  <c r="E221" i="7"/>
  <c r="F221" i="7"/>
  <c r="G221" i="7"/>
  <c r="I221" i="7"/>
  <c r="E222" i="7"/>
  <c r="F222" i="7"/>
  <c r="G222" i="7"/>
  <c r="I222" i="7"/>
  <c r="E223" i="7"/>
  <c r="F223" i="7"/>
  <c r="G223" i="7"/>
  <c r="I223" i="7"/>
  <c r="E224" i="7"/>
  <c r="F224" i="7"/>
  <c r="G224" i="7"/>
  <c r="I224" i="7"/>
  <c r="E225" i="7"/>
  <c r="F225" i="7"/>
  <c r="G225" i="7"/>
  <c r="I225" i="7"/>
  <c r="E226" i="7"/>
  <c r="F226" i="7"/>
  <c r="G226" i="7"/>
  <c r="I226" i="7"/>
  <c r="E227" i="7"/>
  <c r="F227" i="7"/>
  <c r="G227" i="7"/>
  <c r="I227" i="7"/>
  <c r="E228" i="7"/>
  <c r="F228" i="7"/>
  <c r="G228" i="7"/>
  <c r="I228" i="7"/>
  <c r="E229" i="7"/>
  <c r="F229" i="7"/>
  <c r="G229" i="7"/>
  <c r="I229" i="7"/>
  <c r="E230" i="7"/>
  <c r="F230" i="7"/>
  <c r="G230" i="7"/>
  <c r="I230" i="7"/>
  <c r="E231" i="7"/>
  <c r="F231" i="7"/>
  <c r="G231" i="7"/>
  <c r="I231" i="7"/>
  <c r="E232" i="7"/>
  <c r="F232" i="7"/>
  <c r="G232" i="7"/>
  <c r="I232" i="7"/>
  <c r="E233" i="7"/>
  <c r="F233" i="7"/>
  <c r="G233" i="7"/>
  <c r="I233" i="7"/>
  <c r="E234" i="7"/>
  <c r="F234" i="7"/>
  <c r="G234" i="7"/>
  <c r="I234" i="7"/>
  <c r="E235" i="7"/>
  <c r="F235" i="7"/>
  <c r="G235" i="7"/>
  <c r="I235" i="7"/>
  <c r="E236" i="7"/>
  <c r="F236" i="7"/>
  <c r="G236" i="7"/>
  <c r="I236" i="7"/>
  <c r="E237" i="7"/>
  <c r="F237" i="7"/>
  <c r="G237" i="7"/>
  <c r="I237" i="7"/>
  <c r="E238" i="7"/>
  <c r="F238" i="7"/>
  <c r="G238" i="7"/>
  <c r="I238" i="7"/>
  <c r="E239" i="7"/>
  <c r="F239" i="7"/>
  <c r="G239" i="7"/>
  <c r="I239" i="7"/>
  <c r="E240" i="7"/>
  <c r="F240" i="7"/>
  <c r="G240" i="7"/>
  <c r="I240" i="7"/>
  <c r="E241" i="7"/>
  <c r="F241" i="7"/>
  <c r="G241" i="7"/>
  <c r="I241" i="7"/>
  <c r="E242" i="7"/>
  <c r="F242" i="7"/>
  <c r="G242" i="7"/>
  <c r="I242" i="7"/>
  <c r="E243" i="7"/>
  <c r="F243" i="7"/>
  <c r="G243" i="7"/>
  <c r="I243" i="7"/>
  <c r="E244" i="7"/>
  <c r="F244" i="7"/>
  <c r="G244" i="7"/>
  <c r="I244" i="7"/>
  <c r="E245" i="7"/>
  <c r="F245" i="7"/>
  <c r="G245" i="7"/>
  <c r="I245" i="7"/>
  <c r="E246" i="7"/>
  <c r="F246" i="7"/>
  <c r="G246" i="7"/>
  <c r="I246" i="7"/>
  <c r="E247" i="7"/>
  <c r="F247" i="7"/>
  <c r="G247" i="7"/>
  <c r="I247" i="7"/>
  <c r="E248" i="7"/>
  <c r="F248" i="7"/>
  <c r="G248" i="7"/>
  <c r="I248" i="7"/>
  <c r="E249" i="7"/>
  <c r="F249" i="7"/>
  <c r="G249" i="7"/>
  <c r="I249" i="7"/>
  <c r="E250" i="7"/>
  <c r="F250" i="7"/>
  <c r="G250" i="7"/>
  <c r="I250" i="7"/>
  <c r="E251" i="7"/>
  <c r="F251" i="7"/>
  <c r="G251" i="7"/>
  <c r="I251" i="7"/>
  <c r="E252" i="7"/>
  <c r="F252" i="7"/>
  <c r="G252" i="7"/>
  <c r="I252" i="7"/>
  <c r="E253" i="7"/>
  <c r="F253" i="7"/>
  <c r="G253" i="7"/>
  <c r="I253" i="7"/>
  <c r="E254" i="7"/>
  <c r="F254" i="7"/>
  <c r="G254" i="7"/>
  <c r="I254" i="7"/>
  <c r="E255" i="7"/>
  <c r="F255" i="7"/>
  <c r="G255" i="7"/>
  <c r="I255" i="7"/>
  <c r="E256" i="7"/>
  <c r="F256" i="7"/>
  <c r="G256" i="7"/>
  <c r="I256" i="7"/>
  <c r="E257" i="7"/>
  <c r="F257" i="7"/>
  <c r="G257" i="7"/>
  <c r="I257" i="7"/>
  <c r="E258" i="7"/>
  <c r="F258" i="7"/>
  <c r="G258" i="7"/>
  <c r="I258" i="7"/>
  <c r="E259" i="7"/>
  <c r="F259" i="7"/>
  <c r="G259" i="7"/>
  <c r="I259" i="7"/>
  <c r="E260" i="7"/>
  <c r="F260" i="7"/>
  <c r="G260" i="7"/>
  <c r="I260" i="7"/>
  <c r="E261" i="7"/>
  <c r="F261" i="7"/>
  <c r="G261" i="7"/>
  <c r="I261" i="7"/>
  <c r="E262" i="7"/>
  <c r="F262" i="7"/>
  <c r="G262" i="7"/>
  <c r="I262" i="7"/>
  <c r="E263" i="7"/>
  <c r="F263" i="7"/>
  <c r="G263" i="7"/>
  <c r="I263" i="7"/>
  <c r="E264" i="7"/>
  <c r="F264" i="7"/>
  <c r="G264" i="7"/>
  <c r="I264" i="7"/>
  <c r="E265" i="7"/>
  <c r="F265" i="7"/>
  <c r="G265" i="7"/>
  <c r="I265" i="7"/>
  <c r="E266" i="7"/>
  <c r="F266" i="7"/>
  <c r="G266" i="7"/>
  <c r="I266" i="7"/>
  <c r="E267" i="7"/>
  <c r="F267" i="7"/>
  <c r="G267" i="7"/>
  <c r="I267" i="7"/>
  <c r="E268" i="7"/>
  <c r="F268" i="7"/>
  <c r="G268" i="7"/>
  <c r="I268" i="7"/>
  <c r="E5" i="7"/>
  <c r="F5" i="7"/>
  <c r="G5" i="7"/>
  <c r="I5" i="7"/>
  <c r="E6" i="7"/>
  <c r="F6" i="7"/>
  <c r="G6" i="7"/>
  <c r="I6" i="7"/>
  <c r="E7" i="7"/>
  <c r="F7" i="7"/>
  <c r="G7" i="7"/>
  <c r="I7" i="7"/>
  <c r="E8" i="7"/>
  <c r="F8" i="7"/>
  <c r="G8" i="7"/>
  <c r="I8" i="7"/>
  <c r="E9" i="7"/>
  <c r="F9" i="7"/>
  <c r="G9" i="7"/>
  <c r="I9" i="7"/>
  <c r="E10" i="7"/>
  <c r="F10" i="7"/>
  <c r="G10" i="7"/>
  <c r="I10" i="7"/>
  <c r="E11" i="7"/>
  <c r="F11" i="7"/>
  <c r="G11" i="7"/>
  <c r="I11" i="7"/>
  <c r="E12" i="7"/>
  <c r="F12" i="7"/>
  <c r="G12" i="7"/>
  <c r="I12" i="7"/>
  <c r="E13" i="7"/>
  <c r="F13" i="7"/>
  <c r="G13" i="7"/>
  <c r="I13" i="7"/>
  <c r="E14" i="7"/>
  <c r="F14" i="7"/>
  <c r="G14" i="7"/>
  <c r="I14" i="7"/>
  <c r="E15" i="7"/>
  <c r="F15" i="7"/>
  <c r="G15" i="7"/>
  <c r="I15" i="7"/>
  <c r="E16" i="7"/>
  <c r="F16" i="7"/>
  <c r="G16" i="7"/>
  <c r="I16" i="7"/>
  <c r="E17" i="7"/>
  <c r="F17" i="7"/>
  <c r="G17" i="7"/>
  <c r="I17" i="7"/>
  <c r="E18" i="7"/>
  <c r="F18" i="7"/>
  <c r="G18" i="7"/>
  <c r="I18" i="7"/>
  <c r="E19" i="7"/>
  <c r="F19" i="7"/>
  <c r="G19" i="7"/>
  <c r="I19" i="7"/>
  <c r="E20" i="7"/>
  <c r="F20" i="7"/>
  <c r="G20" i="7"/>
  <c r="I20" i="7"/>
  <c r="E21" i="7"/>
  <c r="F21" i="7"/>
  <c r="G21" i="7"/>
  <c r="I21" i="7"/>
  <c r="E22" i="7"/>
  <c r="F22" i="7"/>
  <c r="G22" i="7"/>
  <c r="I22" i="7"/>
  <c r="E23" i="7"/>
  <c r="F23" i="7"/>
  <c r="G23" i="7"/>
  <c r="I23" i="7"/>
  <c r="E24" i="7"/>
  <c r="F24" i="7"/>
  <c r="G24" i="7"/>
  <c r="I24" i="7"/>
  <c r="E25" i="7"/>
  <c r="F25" i="7"/>
  <c r="G25" i="7"/>
  <c r="I25" i="7"/>
  <c r="E26" i="7"/>
  <c r="F26" i="7"/>
  <c r="G26" i="7"/>
  <c r="I26" i="7"/>
  <c r="E27" i="7"/>
  <c r="F27" i="7"/>
  <c r="G27" i="7"/>
  <c r="I27" i="7"/>
  <c r="E28" i="7"/>
  <c r="F28" i="7"/>
  <c r="G28" i="7"/>
  <c r="I28" i="7"/>
  <c r="E29" i="7"/>
  <c r="F29" i="7"/>
  <c r="G29" i="7"/>
  <c r="I29" i="7"/>
  <c r="E30" i="7"/>
  <c r="F30" i="7"/>
  <c r="G30" i="7"/>
  <c r="I30" i="7"/>
  <c r="E31" i="7"/>
  <c r="F31" i="7"/>
  <c r="G31" i="7"/>
  <c r="I31" i="7"/>
  <c r="E32" i="7"/>
  <c r="F32" i="7"/>
  <c r="G32" i="7"/>
  <c r="I32" i="7"/>
  <c r="E33" i="7"/>
  <c r="F33" i="7"/>
  <c r="G33" i="7"/>
  <c r="I33" i="7"/>
  <c r="E34" i="7"/>
  <c r="F34" i="7"/>
  <c r="G34" i="7"/>
  <c r="I34" i="7"/>
  <c r="E35" i="7"/>
  <c r="F35" i="7"/>
  <c r="G35" i="7"/>
  <c r="I35" i="7"/>
  <c r="E36" i="7"/>
  <c r="F36" i="7"/>
  <c r="G36" i="7"/>
  <c r="I36" i="7"/>
  <c r="E37" i="7"/>
  <c r="F37" i="7"/>
  <c r="G37" i="7"/>
  <c r="I37" i="7"/>
  <c r="E38" i="7"/>
  <c r="F38" i="7"/>
  <c r="G38" i="7"/>
  <c r="I38" i="7"/>
  <c r="E39" i="7"/>
  <c r="F39" i="7"/>
  <c r="G39" i="7"/>
  <c r="I39" i="7"/>
  <c r="E40" i="7"/>
  <c r="F40" i="7"/>
  <c r="G40" i="7"/>
  <c r="I40" i="7"/>
  <c r="E41" i="7"/>
  <c r="F41" i="7"/>
  <c r="G41" i="7"/>
  <c r="I41" i="7"/>
  <c r="E42" i="7"/>
  <c r="F42" i="7"/>
  <c r="G42" i="7"/>
  <c r="I42" i="7"/>
  <c r="E3" i="7"/>
  <c r="L3" i="7" s="1"/>
  <c r="G3" i="7"/>
  <c r="I3" i="7"/>
  <c r="E4" i="7"/>
  <c r="G4" i="7"/>
  <c r="I4" i="7"/>
  <c r="I2" i="7"/>
  <c r="D12" i="5" l="1"/>
  <c r="D11" i="5"/>
  <c r="F8" i="5"/>
  <c r="E9" i="5"/>
  <c r="I306" i="7"/>
  <c r="P2" i="8" a="1"/>
  <c r="P2" i="8" s="1"/>
  <c r="I5" i="8"/>
  <c r="I307" i="7"/>
  <c r="I296" i="7"/>
  <c r="K273" i="7"/>
  <c r="K274" i="7" s="1"/>
  <c r="K275" i="7" s="1"/>
  <c r="K276" i="7" s="1"/>
  <c r="K277" i="7" s="1"/>
  <c r="K278" i="7" s="1"/>
  <c r="K279" i="7" s="1"/>
  <c r="K280" i="7" s="1"/>
  <c r="K281" i="7" s="1"/>
  <c r="K282" i="7" s="1"/>
  <c r="K283" i="7" s="1"/>
  <c r="K284" i="7" s="1"/>
  <c r="K285" i="7" s="1"/>
  <c r="K286" i="7" s="1"/>
  <c r="K287" i="7" s="1"/>
  <c r="K288" i="7" s="1"/>
  <c r="K289" i="7" s="1"/>
  <c r="K290" i="7" s="1"/>
  <c r="K291" i="7" s="1"/>
  <c r="J292" i="7"/>
  <c r="J293" i="7" s="1"/>
  <c r="J294" i="7" s="1"/>
  <c r="J295" i="7" s="1"/>
  <c r="K292" i="7"/>
  <c r="K293" i="7" s="1"/>
  <c r="K294" i="7" s="1"/>
  <c r="K295" i="7" s="1"/>
  <c r="J273" i="7"/>
  <c r="J274" i="7" s="1"/>
  <c r="J275" i="7" s="1"/>
  <c r="J276" i="7" s="1"/>
  <c r="J277" i="7" s="1"/>
  <c r="J278" i="7" s="1"/>
  <c r="J279" i="7" s="1"/>
  <c r="J280" i="7" s="1"/>
  <c r="J281" i="7" s="1"/>
  <c r="J282" i="7" s="1"/>
  <c r="J283" i="7" s="1"/>
  <c r="J284" i="7" s="1"/>
  <c r="J285" i="7" s="1"/>
  <c r="J286" i="7" s="1"/>
  <c r="J287" i="7" s="1"/>
  <c r="J288" i="7" s="1"/>
  <c r="J289" i="7" s="1"/>
  <c r="J290" i="7" s="1"/>
  <c r="J291" i="7" s="1"/>
  <c r="E2" i="5"/>
  <c r="D3" i="5"/>
  <c r="C3" i="5"/>
  <c r="F4" i="7"/>
  <c r="K168" i="7"/>
  <c r="K169" i="7" s="1"/>
  <c r="K170" i="7" s="1"/>
  <c r="K171" i="7" s="1"/>
  <c r="K172" i="7" s="1"/>
  <c r="K173" i="7" s="1"/>
  <c r="K174" i="7" s="1"/>
  <c r="K175" i="7" s="1"/>
  <c r="K176" i="7" s="1"/>
  <c r="K177" i="7" s="1"/>
  <c r="K178" i="7" s="1"/>
  <c r="K179" i="7" s="1"/>
  <c r="K180" i="7" s="1"/>
  <c r="K181" i="7" s="1"/>
  <c r="K182" i="7" s="1"/>
  <c r="K183" i="7" s="1"/>
  <c r="K184" i="7" s="1"/>
  <c r="K185" i="7" s="1"/>
  <c r="K186" i="7" s="1"/>
  <c r="K187" i="7" s="1"/>
  <c r="K188" i="7" s="1"/>
  <c r="K189" i="7" s="1"/>
  <c r="K190" i="7" s="1"/>
  <c r="K191" i="7" s="1"/>
  <c r="K192" i="7" s="1"/>
  <c r="K193" i="7" s="1"/>
  <c r="K194" i="7" s="1"/>
  <c r="K195" i="7" s="1"/>
  <c r="K196" i="7" s="1"/>
  <c r="K197" i="7" s="1"/>
  <c r="K198" i="7" s="1"/>
  <c r="K199" i="7" s="1"/>
  <c r="K200" i="7" s="1"/>
  <c r="K201" i="7" s="1"/>
  <c r="K202" i="7" s="1"/>
  <c r="K203" i="7" s="1"/>
  <c r="K204" i="7" s="1"/>
  <c r="K205" i="7" s="1"/>
  <c r="K206" i="7" s="1"/>
  <c r="K207" i="7" s="1"/>
  <c r="K208" i="7" s="1"/>
  <c r="K209" i="7" s="1"/>
  <c r="K210" i="7" s="1"/>
  <c r="K211" i="7" s="1"/>
  <c r="K212" i="7" s="1"/>
  <c r="K213" i="7" s="1"/>
  <c r="K214" i="7" s="1"/>
  <c r="K215" i="7" s="1"/>
  <c r="K216" i="7" s="1"/>
  <c r="K217" i="7" s="1"/>
  <c r="K218" i="7" s="1"/>
  <c r="K219" i="7" s="1"/>
  <c r="K220" i="7" s="1"/>
  <c r="K221" i="7" s="1"/>
  <c r="K222" i="7" s="1"/>
  <c r="K223" i="7" s="1"/>
  <c r="K224" i="7" s="1"/>
  <c r="K225" i="7" s="1"/>
  <c r="K226" i="7" s="1"/>
  <c r="K227" i="7" s="1"/>
  <c r="K228" i="7" s="1"/>
  <c r="K229" i="7" s="1"/>
  <c r="K230" i="7" s="1"/>
  <c r="K231" i="7" s="1"/>
  <c r="K232" i="7" s="1"/>
  <c r="K233" i="7" s="1"/>
  <c r="K234" i="7" s="1"/>
  <c r="K235" i="7" s="1"/>
  <c r="K236" i="7" s="1"/>
  <c r="K237" i="7" s="1"/>
  <c r="K238" i="7" s="1"/>
  <c r="K239" i="7" s="1"/>
  <c r="K240" i="7" s="1"/>
  <c r="K241" i="7" s="1"/>
  <c r="K242" i="7" s="1"/>
  <c r="K243" i="7" s="1"/>
  <c r="K244" i="7" s="1"/>
  <c r="K245" i="7" s="1"/>
  <c r="K246" i="7" s="1"/>
  <c r="K247" i="7" s="1"/>
  <c r="K248" i="7" s="1"/>
  <c r="K249" i="7" s="1"/>
  <c r="K250" i="7" s="1"/>
  <c r="K251" i="7" s="1"/>
  <c r="K252" i="7" s="1"/>
  <c r="K253" i="7" s="1"/>
  <c r="K254" i="7" s="1"/>
  <c r="K255" i="7" s="1"/>
  <c r="K256" i="7" s="1"/>
  <c r="K257" i="7" s="1"/>
  <c r="K258" i="7" s="1"/>
  <c r="K259" i="7" s="1"/>
  <c r="K260" i="7" s="1"/>
  <c r="K261" i="7" s="1"/>
  <c r="K262" i="7" s="1"/>
  <c r="K263" i="7" s="1"/>
  <c r="K264" i="7" s="1"/>
  <c r="K265" i="7" s="1"/>
  <c r="K266" i="7" s="1"/>
  <c r="K267" i="7" s="1"/>
  <c r="K268" i="7" s="1"/>
  <c r="K269" i="7" s="1"/>
  <c r="K270" i="7" s="1"/>
  <c r="K271" i="7" s="1"/>
  <c r="K272" i="7" s="1"/>
  <c r="J3" i="7"/>
  <c r="J4" i="7" s="1"/>
  <c r="J5" i="7" s="1"/>
  <c r="J6" i="7" s="1"/>
  <c r="J7" i="7" s="1"/>
  <c r="J8" i="7" s="1"/>
  <c r="J9" i="7" s="1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J41" i="7" s="1"/>
  <c r="J42" i="7" s="1"/>
  <c r="J43" i="7" s="1"/>
  <c r="J44" i="7" s="1"/>
  <c r="J45" i="7" s="1"/>
  <c r="J46" i="7" s="1"/>
  <c r="J47" i="7" s="1"/>
  <c r="J48" i="7" s="1"/>
  <c r="J49" i="7" s="1"/>
  <c r="J50" i="7" s="1"/>
  <c r="J51" i="7" s="1"/>
  <c r="J52" i="7" s="1"/>
  <c r="J53" i="7" s="1"/>
  <c r="J54" i="7" s="1"/>
  <c r="J55" i="7" s="1"/>
  <c r="J56" i="7" s="1"/>
  <c r="J57" i="7" s="1"/>
  <c r="J58" i="7" s="1"/>
  <c r="J59" i="7" s="1"/>
  <c r="J60" i="7" s="1"/>
  <c r="J61" i="7" s="1"/>
  <c r="J62" i="7" s="1"/>
  <c r="J63" i="7" s="1"/>
  <c r="J64" i="7" s="1"/>
  <c r="J65" i="7" s="1"/>
  <c r="J66" i="7" s="1"/>
  <c r="J67" i="7" s="1"/>
  <c r="J68" i="7" s="1"/>
  <c r="J69" i="7" s="1"/>
  <c r="J70" i="7" s="1"/>
  <c r="J71" i="7" s="1"/>
  <c r="J72" i="7" s="1"/>
  <c r="J73" i="7" s="1"/>
  <c r="J74" i="7" s="1"/>
  <c r="J75" i="7" s="1"/>
  <c r="J76" i="7" s="1"/>
  <c r="J77" i="7" s="1"/>
  <c r="J78" i="7" s="1"/>
  <c r="J79" i="7" s="1"/>
  <c r="J80" i="7" s="1"/>
  <c r="J81" i="7" s="1"/>
  <c r="J82" i="7" s="1"/>
  <c r="J83" i="7" s="1"/>
  <c r="J84" i="7" s="1"/>
  <c r="J85" i="7" s="1"/>
  <c r="J86" i="7" s="1"/>
  <c r="J87" i="7" s="1"/>
  <c r="J88" i="7" s="1"/>
  <c r="J89" i="7" s="1"/>
  <c r="J90" i="7" s="1"/>
  <c r="J91" i="7" s="1"/>
  <c r="J92" i="7" s="1"/>
  <c r="J93" i="7" s="1"/>
  <c r="J94" i="7" s="1"/>
  <c r="J95" i="7" s="1"/>
  <c r="J96" i="7" s="1"/>
  <c r="J97" i="7" s="1"/>
  <c r="J98" i="7" s="1"/>
  <c r="J99" i="7" s="1"/>
  <c r="J100" i="7" s="1"/>
  <c r="J101" i="7" s="1"/>
  <c r="J102" i="7" s="1"/>
  <c r="J103" i="7" s="1"/>
  <c r="J104" i="7" s="1"/>
  <c r="J105" i="7" s="1"/>
  <c r="J106" i="7" s="1"/>
  <c r="J107" i="7" s="1"/>
  <c r="J108" i="7" s="1"/>
  <c r="J109" i="7" s="1"/>
  <c r="J110" i="7" s="1"/>
  <c r="J111" i="7" s="1"/>
  <c r="J112" i="7" s="1"/>
  <c r="J113" i="7" s="1"/>
  <c r="J114" i="7" s="1"/>
  <c r="J115" i="7" s="1"/>
  <c r="J116" i="7" s="1"/>
  <c r="J117" i="7" s="1"/>
  <c r="J118" i="7" s="1"/>
  <c r="J119" i="7" s="1"/>
  <c r="J120" i="7" s="1"/>
  <c r="J121" i="7" s="1"/>
  <c r="J122" i="7" s="1"/>
  <c r="J123" i="7" s="1"/>
  <c r="J124" i="7" s="1"/>
  <c r="J125" i="7" s="1"/>
  <c r="J126" i="7" s="1"/>
  <c r="J127" i="7" s="1"/>
  <c r="J128" i="7" s="1"/>
  <c r="J129" i="7" s="1"/>
  <c r="J130" i="7" s="1"/>
  <c r="J131" i="7" s="1"/>
  <c r="J132" i="7" s="1"/>
  <c r="J133" i="7" s="1"/>
  <c r="J134" i="7" s="1"/>
  <c r="J135" i="7" s="1"/>
  <c r="J136" i="7" s="1"/>
  <c r="J137" i="7" s="1"/>
  <c r="J138" i="7" s="1"/>
  <c r="J139" i="7" s="1"/>
  <c r="J140" i="7" s="1"/>
  <c r="J141" i="7" s="1"/>
  <c r="J142" i="7" s="1"/>
  <c r="J143" i="7" s="1"/>
  <c r="J144" i="7" s="1"/>
  <c r="J145" i="7" s="1"/>
  <c r="J146" i="7" s="1"/>
  <c r="J147" i="7" s="1"/>
  <c r="J148" i="7" s="1"/>
  <c r="J149" i="7" s="1"/>
  <c r="J150" i="7" s="1"/>
  <c r="J151" i="7" s="1"/>
  <c r="J152" i="7" s="1"/>
  <c r="J153" i="7" s="1"/>
  <c r="J154" i="7" s="1"/>
  <c r="J155" i="7" s="1"/>
  <c r="J156" i="7" s="1"/>
  <c r="J157" i="7" s="1"/>
  <c r="J158" i="7" s="1"/>
  <c r="J159" i="7" s="1"/>
  <c r="J160" i="7" s="1"/>
  <c r="J161" i="7" s="1"/>
  <c r="J162" i="7" s="1"/>
  <c r="J163" i="7" s="1"/>
  <c r="J164" i="7" s="1"/>
  <c r="J165" i="7" s="1"/>
  <c r="J166" i="7" s="1"/>
  <c r="J167" i="7" s="1"/>
  <c r="J168" i="7" s="1"/>
  <c r="J169" i="7" s="1"/>
  <c r="J170" i="7" s="1"/>
  <c r="J171" i="7" s="1"/>
  <c r="J172" i="7" s="1"/>
  <c r="J173" i="7" s="1"/>
  <c r="J174" i="7" s="1"/>
  <c r="J175" i="7" s="1"/>
  <c r="J176" i="7" s="1"/>
  <c r="J177" i="7" s="1"/>
  <c r="J178" i="7" s="1"/>
  <c r="J179" i="7" s="1"/>
  <c r="J180" i="7" s="1"/>
  <c r="J181" i="7" s="1"/>
  <c r="J182" i="7" s="1"/>
  <c r="J183" i="7" s="1"/>
  <c r="J184" i="7" s="1"/>
  <c r="J185" i="7" s="1"/>
  <c r="J186" i="7" s="1"/>
  <c r="J187" i="7" s="1"/>
  <c r="J188" i="7" s="1"/>
  <c r="J189" i="7" s="1"/>
  <c r="J190" i="7" s="1"/>
  <c r="J191" i="7" s="1"/>
  <c r="J192" i="7" s="1"/>
  <c r="J193" i="7" s="1"/>
  <c r="J194" i="7" s="1"/>
  <c r="J195" i="7" s="1"/>
  <c r="J196" i="7" s="1"/>
  <c r="J197" i="7" s="1"/>
  <c r="J198" i="7" s="1"/>
  <c r="J199" i="7" s="1"/>
  <c r="J200" i="7" s="1"/>
  <c r="J201" i="7" s="1"/>
  <c r="J202" i="7" s="1"/>
  <c r="J203" i="7" s="1"/>
  <c r="J204" i="7" s="1"/>
  <c r="J205" i="7" s="1"/>
  <c r="J206" i="7" s="1"/>
  <c r="J207" i="7" s="1"/>
  <c r="J208" i="7" s="1"/>
  <c r="J209" i="7" s="1"/>
  <c r="J210" i="7" s="1"/>
  <c r="J211" i="7" s="1"/>
  <c r="J212" i="7" s="1"/>
  <c r="J213" i="7" s="1"/>
  <c r="J214" i="7" s="1"/>
  <c r="J215" i="7" s="1"/>
  <c r="J216" i="7" s="1"/>
  <c r="J217" i="7" s="1"/>
  <c r="J218" i="7" s="1"/>
  <c r="J219" i="7" s="1"/>
  <c r="J220" i="7" s="1"/>
  <c r="J221" i="7" s="1"/>
  <c r="J222" i="7" s="1"/>
  <c r="J223" i="7" s="1"/>
  <c r="J224" i="7" s="1"/>
  <c r="J225" i="7" s="1"/>
  <c r="J226" i="7" s="1"/>
  <c r="J227" i="7" s="1"/>
  <c r="J228" i="7" s="1"/>
  <c r="J229" i="7" s="1"/>
  <c r="J230" i="7" s="1"/>
  <c r="J231" i="7" s="1"/>
  <c r="J232" i="7" s="1"/>
  <c r="J233" i="7" s="1"/>
  <c r="J234" i="7" s="1"/>
  <c r="J235" i="7" s="1"/>
  <c r="J236" i="7" s="1"/>
  <c r="J237" i="7" s="1"/>
  <c r="J238" i="7" s="1"/>
  <c r="J239" i="7" s="1"/>
  <c r="J240" i="7" s="1"/>
  <c r="J241" i="7" s="1"/>
  <c r="J242" i="7" s="1"/>
  <c r="J243" i="7" s="1"/>
  <c r="J244" i="7" s="1"/>
  <c r="J245" i="7" s="1"/>
  <c r="J246" i="7" s="1"/>
  <c r="J247" i="7" s="1"/>
  <c r="J248" i="7" s="1"/>
  <c r="J249" i="7" s="1"/>
  <c r="J250" i="7" s="1"/>
  <c r="J251" i="7" s="1"/>
  <c r="J252" i="7" s="1"/>
  <c r="J253" i="7" s="1"/>
  <c r="J254" i="7" s="1"/>
  <c r="J255" i="7" s="1"/>
  <c r="J256" i="7" s="1"/>
  <c r="J257" i="7" s="1"/>
  <c r="J258" i="7" s="1"/>
  <c r="J259" i="7" s="1"/>
  <c r="J260" i="7" s="1"/>
  <c r="J261" i="7" s="1"/>
  <c r="J262" i="7" s="1"/>
  <c r="J263" i="7" s="1"/>
  <c r="J264" i="7" s="1"/>
  <c r="J265" i="7" s="1"/>
  <c r="J266" i="7" s="1"/>
  <c r="J267" i="7" s="1"/>
  <c r="J268" i="7" s="1"/>
  <c r="J269" i="7" s="1"/>
  <c r="J270" i="7" s="1"/>
  <c r="J271" i="7" s="1"/>
  <c r="J272" i="7" s="1"/>
  <c r="L4" i="7"/>
  <c r="L5" i="7" s="1"/>
  <c r="L6" i="7" s="1"/>
  <c r="L7" i="7" s="1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L20" i="7" s="1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L66" i="7" s="1"/>
  <c r="L67" i="7" s="1"/>
  <c r="L68" i="7" s="1"/>
  <c r="L69" i="7" s="1"/>
  <c r="L70" i="7" s="1"/>
  <c r="L71" i="7" s="1"/>
  <c r="L72" i="7" s="1"/>
  <c r="L73" i="7" s="1"/>
  <c r="L74" i="7" s="1"/>
  <c r="L75" i="7" s="1"/>
  <c r="L76" i="7" s="1"/>
  <c r="L77" i="7" s="1"/>
  <c r="L78" i="7" s="1"/>
  <c r="L79" i="7" s="1"/>
  <c r="L80" i="7" s="1"/>
  <c r="L81" i="7" s="1"/>
  <c r="L82" i="7" s="1"/>
  <c r="L83" i="7" s="1"/>
  <c r="L84" i="7" s="1"/>
  <c r="L85" i="7" s="1"/>
  <c r="L86" i="7" s="1"/>
  <c r="L87" i="7" s="1"/>
  <c r="L88" i="7" s="1"/>
  <c r="L89" i="7" s="1"/>
  <c r="L90" i="7" s="1"/>
  <c r="L91" i="7" s="1"/>
  <c r="L92" i="7" s="1"/>
  <c r="L93" i="7" s="1"/>
  <c r="L94" i="7" s="1"/>
  <c r="L95" i="7" s="1"/>
  <c r="L96" i="7" s="1"/>
  <c r="L97" i="7" s="1"/>
  <c r="L98" i="7" s="1"/>
  <c r="L99" i="7" s="1"/>
  <c r="L100" i="7" s="1"/>
  <c r="L101" i="7" s="1"/>
  <c r="L102" i="7" s="1"/>
  <c r="L103" i="7" s="1"/>
  <c r="L104" i="7" s="1"/>
  <c r="L105" i="7" s="1"/>
  <c r="L106" i="7" s="1"/>
  <c r="L107" i="7" s="1"/>
  <c r="L108" i="7" s="1"/>
  <c r="L109" i="7" s="1"/>
  <c r="L110" i="7" s="1"/>
  <c r="L111" i="7" s="1"/>
  <c r="L112" i="7" s="1"/>
  <c r="L113" i="7" s="1"/>
  <c r="L114" i="7" s="1"/>
  <c r="L115" i="7" s="1"/>
  <c r="L116" i="7" s="1"/>
  <c r="L117" i="7" s="1"/>
  <c r="L118" i="7" s="1"/>
  <c r="L119" i="7" s="1"/>
  <c r="L120" i="7" s="1"/>
  <c r="L121" i="7" s="1"/>
  <c r="L122" i="7" s="1"/>
  <c r="L123" i="7" s="1"/>
  <c r="L124" i="7" s="1"/>
  <c r="L125" i="7" s="1"/>
  <c r="L126" i="7" s="1"/>
  <c r="L127" i="7" s="1"/>
  <c r="L128" i="7" s="1"/>
  <c r="L129" i="7" s="1"/>
  <c r="L130" i="7" s="1"/>
  <c r="L131" i="7" s="1"/>
  <c r="L132" i="7" s="1"/>
  <c r="L133" i="7" s="1"/>
  <c r="L134" i="7" s="1"/>
  <c r="L135" i="7" s="1"/>
  <c r="L136" i="7" s="1"/>
  <c r="L137" i="7" s="1"/>
  <c r="L138" i="7" s="1"/>
  <c r="L139" i="7" s="1"/>
  <c r="L140" i="7" s="1"/>
  <c r="L141" i="7" s="1"/>
  <c r="L142" i="7" s="1"/>
  <c r="L143" i="7" s="1"/>
  <c r="L144" i="7" s="1"/>
  <c r="L145" i="7" s="1"/>
  <c r="L146" i="7" s="1"/>
  <c r="L147" i="7" s="1"/>
  <c r="L148" i="7" s="1"/>
  <c r="L149" i="7" s="1"/>
  <c r="L150" i="7" s="1"/>
  <c r="L151" i="7" s="1"/>
  <c r="L152" i="7" s="1"/>
  <c r="L153" i="7" s="1"/>
  <c r="L154" i="7" s="1"/>
  <c r="L155" i="7" s="1"/>
  <c r="L156" i="7" s="1"/>
  <c r="L157" i="7" s="1"/>
  <c r="L158" i="7" s="1"/>
  <c r="L159" i="7" s="1"/>
  <c r="L160" i="7" s="1"/>
  <c r="L161" i="7" s="1"/>
  <c r="L162" i="7" s="1"/>
  <c r="L163" i="7" s="1"/>
  <c r="L164" i="7" s="1"/>
  <c r="L165" i="7" s="1"/>
  <c r="L166" i="7" s="1"/>
  <c r="L167" i="7" s="1"/>
  <c r="L168" i="7" s="1"/>
  <c r="L169" i="7" s="1"/>
  <c r="L170" i="7" s="1"/>
  <c r="L171" i="7" s="1"/>
  <c r="L172" i="7" s="1"/>
  <c r="L173" i="7" s="1"/>
  <c r="L174" i="7" s="1"/>
  <c r="L175" i="7" s="1"/>
  <c r="L176" i="7" s="1"/>
  <c r="L177" i="7" s="1"/>
  <c r="L178" i="7" s="1"/>
  <c r="L179" i="7" s="1"/>
  <c r="L180" i="7" s="1"/>
  <c r="L181" i="7" s="1"/>
  <c r="L182" i="7" s="1"/>
  <c r="L183" i="7" s="1"/>
  <c r="L184" i="7" s="1"/>
  <c r="L185" i="7" s="1"/>
  <c r="L186" i="7" s="1"/>
  <c r="L187" i="7" s="1"/>
  <c r="L188" i="7" s="1"/>
  <c r="L189" i="7" s="1"/>
  <c r="L190" i="7" s="1"/>
  <c r="L191" i="7" s="1"/>
  <c r="L192" i="7" s="1"/>
  <c r="L193" i="7" s="1"/>
  <c r="L194" i="7" s="1"/>
  <c r="L195" i="7" s="1"/>
  <c r="L196" i="7" s="1"/>
  <c r="L197" i="7" s="1"/>
  <c r="L198" i="7" s="1"/>
  <c r="L199" i="7" s="1"/>
  <c r="L200" i="7" s="1"/>
  <c r="L201" i="7" s="1"/>
  <c r="L202" i="7" s="1"/>
  <c r="L203" i="7" s="1"/>
  <c r="L204" i="7" s="1"/>
  <c r="L205" i="7" s="1"/>
  <c r="L206" i="7" s="1"/>
  <c r="L207" i="7" s="1"/>
  <c r="L208" i="7" s="1"/>
  <c r="L209" i="7" s="1"/>
  <c r="L210" i="7" s="1"/>
  <c r="L211" i="7" s="1"/>
  <c r="L212" i="7" s="1"/>
  <c r="L213" i="7" s="1"/>
  <c r="L214" i="7" s="1"/>
  <c r="L215" i="7" s="1"/>
  <c r="L216" i="7" s="1"/>
  <c r="L217" i="7" s="1"/>
  <c r="L218" i="7" s="1"/>
  <c r="L219" i="7" s="1"/>
  <c r="L220" i="7" s="1"/>
  <c r="L221" i="7" s="1"/>
  <c r="L222" i="7" s="1"/>
  <c r="L223" i="7" s="1"/>
  <c r="L224" i="7" s="1"/>
  <c r="L225" i="7" s="1"/>
  <c r="L226" i="7" s="1"/>
  <c r="L227" i="7" s="1"/>
  <c r="L228" i="7" s="1"/>
  <c r="L229" i="7" s="1"/>
  <c r="L230" i="7" s="1"/>
  <c r="L231" i="7" s="1"/>
  <c r="L232" i="7" s="1"/>
  <c r="L233" i="7" s="1"/>
  <c r="L234" i="7" s="1"/>
  <c r="L235" i="7" s="1"/>
  <c r="L236" i="7" s="1"/>
  <c r="L237" i="7" s="1"/>
  <c r="L238" i="7" s="1"/>
  <c r="L239" i="7" s="1"/>
  <c r="L240" i="7" s="1"/>
  <c r="L241" i="7" s="1"/>
  <c r="L242" i="7" s="1"/>
  <c r="L243" i="7" s="1"/>
  <c r="L244" i="7" s="1"/>
  <c r="L245" i="7" s="1"/>
  <c r="L246" i="7" s="1"/>
  <c r="L247" i="7" s="1"/>
  <c r="L248" i="7" s="1"/>
  <c r="L249" i="7" s="1"/>
  <c r="L250" i="7" s="1"/>
  <c r="L251" i="7" s="1"/>
  <c r="L252" i="7" s="1"/>
  <c r="L253" i="7" s="1"/>
  <c r="L254" i="7" s="1"/>
  <c r="L255" i="7" s="1"/>
  <c r="L256" i="7" s="1"/>
  <c r="L257" i="7" s="1"/>
  <c r="L258" i="7" s="1"/>
  <c r="L259" i="7" s="1"/>
  <c r="L260" i="7" s="1"/>
  <c r="L261" i="7" s="1"/>
  <c r="L262" i="7" s="1"/>
  <c r="L263" i="7" s="1"/>
  <c r="L264" i="7" s="1"/>
  <c r="L265" i="7" s="1"/>
  <c r="L266" i="7" s="1"/>
  <c r="L267" i="7" s="1"/>
  <c r="L268" i="7" s="1"/>
  <c r="L269" i="7" s="1"/>
  <c r="L270" i="7" s="1"/>
  <c r="L271" i="7" s="1"/>
  <c r="L272" i="7" s="1"/>
  <c r="L273" i="7" s="1"/>
  <c r="L274" i="7" s="1"/>
  <c r="L275" i="7" s="1"/>
  <c r="L276" i="7" s="1"/>
  <c r="L277" i="7" s="1"/>
  <c r="L278" i="7" s="1"/>
  <c r="L279" i="7" s="1"/>
  <c r="L280" i="7" s="1"/>
  <c r="L281" i="7" s="1"/>
  <c r="L282" i="7" s="1"/>
  <c r="L283" i="7" s="1"/>
  <c r="L284" i="7" s="1"/>
  <c r="L285" i="7" s="1"/>
  <c r="L286" i="7" s="1"/>
  <c r="L287" i="7" s="1"/>
  <c r="L288" i="7" s="1"/>
  <c r="L289" i="7" s="1"/>
  <c r="L290" i="7" s="1"/>
  <c r="L291" i="7" s="1"/>
  <c r="L292" i="7" s="1"/>
  <c r="L293" i="7" s="1"/>
  <c r="L294" i="7" s="1"/>
  <c r="L295" i="7" s="1"/>
  <c r="L296" i="7" s="1"/>
  <c r="L297" i="7" s="1"/>
  <c r="L298" i="7" s="1"/>
  <c r="L299" i="7" s="1"/>
  <c r="L300" i="7" s="1"/>
  <c r="L301" i="7" s="1"/>
  <c r="L302" i="7" s="1"/>
  <c r="L303" i="7" s="1"/>
  <c r="L304" i="7" s="1"/>
  <c r="L305" i="7" s="1"/>
  <c r="L306" i="7" s="1"/>
  <c r="L307" i="7" s="1"/>
  <c r="L308" i="7" s="1"/>
  <c r="L309" i="7" s="1"/>
  <c r="L310" i="7" s="1"/>
  <c r="L311" i="7" s="1"/>
  <c r="L312" i="7" s="1"/>
  <c r="L313" i="7" s="1"/>
  <c r="L314" i="7" s="1"/>
  <c r="L315" i="7" s="1"/>
  <c r="L316" i="7" s="1"/>
  <c r="L317" i="7" s="1"/>
  <c r="L318" i="7" s="1"/>
  <c r="L319" i="7" s="1"/>
  <c r="L320" i="7" s="1"/>
  <c r="L321" i="7" s="1"/>
  <c r="L322" i="7" s="1"/>
  <c r="L323" i="7" s="1"/>
  <c r="L324" i="7" s="1"/>
  <c r="L325" i="7" s="1"/>
  <c r="L326" i="7" s="1"/>
  <c r="L327" i="7" s="1"/>
  <c r="L328" i="7" s="1"/>
  <c r="L329" i="7" s="1"/>
  <c r="L330" i="7" s="1"/>
  <c r="L331" i="7" s="1"/>
  <c r="L332" i="7" s="1"/>
  <c r="L333" i="7" s="1"/>
  <c r="L334" i="7" s="1"/>
  <c r="L335" i="7" s="1"/>
  <c r="L336" i="7" s="1"/>
  <c r="L337" i="7" s="1"/>
  <c r="L338" i="7" s="1"/>
  <c r="L339" i="7" s="1"/>
  <c r="L340" i="7" s="1"/>
  <c r="L341" i="7" s="1"/>
  <c r="L342" i="7" s="1"/>
  <c r="L343" i="7" s="1"/>
  <c r="L344" i="7" s="1"/>
  <c r="L345" i="7" s="1"/>
  <c r="L346" i="7" s="1"/>
  <c r="L347" i="7" s="1"/>
  <c r="L348" i="7" s="1"/>
  <c r="L349" i="7" s="1"/>
  <c r="B10" i="5"/>
  <c r="C5" i="5"/>
  <c r="D5" i="5" s="1"/>
  <c r="E5" i="5" s="1"/>
  <c r="F5" i="5" s="1"/>
  <c r="G5" i="5" s="1"/>
  <c r="F41" i="1"/>
  <c r="F4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" i="3"/>
  <c r="E2" i="3"/>
  <c r="E3" i="3"/>
  <c r="E4" i="3"/>
  <c r="E5" i="3"/>
  <c r="E6" i="3"/>
  <c r="E7" i="3"/>
  <c r="E8" i="3"/>
  <c r="E9" i="3"/>
  <c r="E10" i="3"/>
  <c r="E11" i="3"/>
  <c r="E12" i="3"/>
  <c r="E14" i="3"/>
  <c r="E15" i="3"/>
  <c r="E16" i="3"/>
  <c r="E17" i="3"/>
  <c r="E18" i="3"/>
  <c r="E19" i="3"/>
  <c r="E20" i="3"/>
  <c r="E21" i="3"/>
  <c r="E22" i="3"/>
  <c r="E23" i="3"/>
  <c r="E13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0" i="2"/>
  <c r="E21" i="2"/>
  <c r="E22" i="2"/>
  <c r="E2" i="2"/>
  <c r="H42" i="1"/>
  <c r="G42" i="1"/>
  <c r="H41" i="1"/>
  <c r="G41" i="1"/>
  <c r="H40" i="1"/>
  <c r="G40" i="1"/>
  <c r="F40" i="1"/>
  <c r="H39" i="1"/>
  <c r="G39" i="1"/>
  <c r="F39" i="1"/>
  <c r="H38" i="1"/>
  <c r="G38" i="1"/>
  <c r="F38" i="1"/>
  <c r="H37" i="1"/>
  <c r="G37" i="1"/>
  <c r="F37" i="1"/>
  <c r="H36" i="1"/>
  <c r="G36" i="1"/>
  <c r="F36" i="1"/>
  <c r="H35" i="1"/>
  <c r="G35" i="1"/>
  <c r="F35" i="1"/>
  <c r="H34" i="1"/>
  <c r="G34" i="1"/>
  <c r="F34" i="1"/>
  <c r="H33" i="1"/>
  <c r="G33" i="1"/>
  <c r="F33" i="1"/>
  <c r="H32" i="1"/>
  <c r="G32" i="1"/>
  <c r="F32" i="1"/>
  <c r="H31" i="1"/>
  <c r="G31" i="1"/>
  <c r="F31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H22" i="1"/>
  <c r="G22" i="1"/>
  <c r="F22" i="1"/>
  <c r="H21" i="1"/>
  <c r="G21" i="1"/>
  <c r="F21" i="1"/>
  <c r="H20" i="1"/>
  <c r="G20" i="1"/>
  <c r="F20" i="1"/>
  <c r="H19" i="1"/>
  <c r="G19" i="1"/>
  <c r="F19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G4" i="1"/>
  <c r="F4" i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J3" i="1"/>
  <c r="H3" i="1"/>
  <c r="G3" i="1"/>
  <c r="F3" i="1"/>
  <c r="K3" i="1" s="1"/>
  <c r="E12" i="5" l="1"/>
  <c r="E11" i="5"/>
  <c r="G8" i="5"/>
  <c r="F9" i="5"/>
  <c r="B13" i="5"/>
  <c r="I322" i="7"/>
  <c r="I321" i="7"/>
  <c r="Q2" i="8" a="1"/>
  <c r="Q2" i="8" s="1"/>
  <c r="K296" i="7"/>
  <c r="I297" i="7"/>
  <c r="J296" i="7"/>
  <c r="H5" i="5"/>
  <c r="I5" i="5" s="1"/>
  <c r="J5" i="5" s="1"/>
  <c r="K5" i="5" s="1"/>
  <c r="L5" i="5" s="1"/>
  <c r="M5" i="5" s="1"/>
  <c r="M10" i="5" s="1"/>
  <c r="G6" i="5"/>
  <c r="F2" i="5"/>
  <c r="E3" i="5"/>
  <c r="C10" i="5"/>
  <c r="H52" i="7"/>
  <c r="H64" i="7"/>
  <c r="H76" i="7"/>
  <c r="H88" i="7"/>
  <c r="H100" i="7"/>
  <c r="H112" i="7"/>
  <c r="H124" i="7"/>
  <c r="H48" i="7"/>
  <c r="H60" i="7"/>
  <c r="H72" i="7"/>
  <c r="H84" i="7"/>
  <c r="H96" i="7"/>
  <c r="H108" i="7"/>
  <c r="H120" i="7"/>
  <c r="H132" i="7"/>
  <c r="H144" i="7"/>
  <c r="H156" i="7"/>
  <c r="H168" i="7"/>
  <c r="H180" i="7"/>
  <c r="H192" i="7"/>
  <c r="H204" i="7"/>
  <c r="H216" i="7"/>
  <c r="H228" i="7"/>
  <c r="H240" i="7"/>
  <c r="H252" i="7"/>
  <c r="H264" i="7"/>
  <c r="H12" i="7"/>
  <c r="H24" i="7"/>
  <c r="H36" i="7"/>
  <c r="H149" i="7"/>
  <c r="H161" i="7"/>
  <c r="H173" i="7"/>
  <c r="H185" i="7"/>
  <c r="H197" i="7"/>
  <c r="H209" i="7"/>
  <c r="H221" i="7"/>
  <c r="H233" i="7"/>
  <c r="H245" i="7"/>
  <c r="H257" i="7"/>
  <c r="H5" i="7"/>
  <c r="H17" i="7"/>
  <c r="H29" i="7"/>
  <c r="H41" i="7"/>
  <c r="H46" i="7"/>
  <c r="H58" i="7"/>
  <c r="H70" i="7"/>
  <c r="H82" i="7"/>
  <c r="H94" i="7"/>
  <c r="H106" i="7"/>
  <c r="H118" i="7"/>
  <c r="H130" i="7"/>
  <c r="H142" i="7"/>
  <c r="H154" i="7"/>
  <c r="H166" i="7"/>
  <c r="H178" i="7"/>
  <c r="H190" i="7"/>
  <c r="H202" i="7"/>
  <c r="H214" i="7"/>
  <c r="H51" i="7"/>
  <c r="H63" i="7"/>
  <c r="H75" i="7"/>
  <c r="H87" i="7"/>
  <c r="H99" i="7"/>
  <c r="H111" i="7"/>
  <c r="H123" i="7"/>
  <c r="H135" i="7"/>
  <c r="H147" i="7"/>
  <c r="H159" i="7"/>
  <c r="H171" i="7"/>
  <c r="H183" i="7"/>
  <c r="H195" i="7"/>
  <c r="H207" i="7"/>
  <c r="H219" i="7"/>
  <c r="H231" i="7"/>
  <c r="H243" i="7"/>
  <c r="H255" i="7"/>
  <c r="H267" i="7"/>
  <c r="H15" i="7"/>
  <c r="H27" i="7"/>
  <c r="H39" i="7"/>
  <c r="H44" i="7"/>
  <c r="H80" i="7"/>
  <c r="H104" i="7"/>
  <c r="H116" i="7"/>
  <c r="H140" i="7"/>
  <c r="H152" i="7"/>
  <c r="H164" i="7"/>
  <c r="H176" i="7"/>
  <c r="H200" i="7"/>
  <c r="H212" i="7"/>
  <c r="H224" i="7"/>
  <c r="H236" i="7"/>
  <c r="H53" i="7"/>
  <c r="H65" i="7"/>
  <c r="H77" i="7"/>
  <c r="H89" i="7"/>
  <c r="H101" i="7"/>
  <c r="H113" i="7"/>
  <c r="H125" i="7"/>
  <c r="H137" i="7"/>
  <c r="H226" i="7"/>
  <c r="H238" i="7"/>
  <c r="H250" i="7"/>
  <c r="H262" i="7"/>
  <c r="H10" i="7"/>
  <c r="H22" i="7"/>
  <c r="H34" i="7"/>
  <c r="H56" i="7"/>
  <c r="H68" i="7"/>
  <c r="H92" i="7"/>
  <c r="H128" i="7"/>
  <c r="H188" i="7"/>
  <c r="H66" i="7"/>
  <c r="H90" i="7"/>
  <c r="H114" i="7"/>
  <c r="H143" i="7"/>
  <c r="H177" i="7"/>
  <c r="H198" i="7"/>
  <c r="H211" i="7"/>
  <c r="H232" i="7"/>
  <c r="H258" i="7"/>
  <c r="H263" i="7"/>
  <c r="H50" i="7"/>
  <c r="H74" i="7"/>
  <c r="H98" i="7"/>
  <c r="H122" i="7"/>
  <c r="H138" i="7"/>
  <c r="H151" i="7"/>
  <c r="H172" i="7"/>
  <c r="H193" i="7"/>
  <c r="H206" i="7"/>
  <c r="H227" i="7"/>
  <c r="H253" i="7"/>
  <c r="H7" i="7"/>
  <c r="H25" i="7"/>
  <c r="H3" i="7"/>
  <c r="H45" i="7"/>
  <c r="H61" i="7"/>
  <c r="H69" i="7"/>
  <c r="H85" i="7"/>
  <c r="H93" i="7"/>
  <c r="H109" i="7"/>
  <c r="H117" i="7"/>
  <c r="H133" i="7"/>
  <c r="H146" i="7"/>
  <c r="H167" i="7"/>
  <c r="H201" i="7"/>
  <c r="H222" i="7"/>
  <c r="H235" i="7"/>
  <c r="H248" i="7"/>
  <c r="H266" i="7"/>
  <c r="H20" i="7"/>
  <c r="H38" i="7"/>
  <c r="H33" i="7"/>
  <c r="H136" i="7"/>
  <c r="H141" i="7"/>
  <c r="H162" i="7"/>
  <c r="H175" i="7"/>
  <c r="H196" i="7"/>
  <c r="H217" i="7"/>
  <c r="H230" i="7"/>
  <c r="H256" i="7"/>
  <c r="H261" i="7"/>
  <c r="H28" i="7"/>
  <c r="H54" i="7"/>
  <c r="H78" i="7"/>
  <c r="H102" i="7"/>
  <c r="H126" i="7"/>
  <c r="H139" i="7"/>
  <c r="H160" i="7"/>
  <c r="H181" i="7"/>
  <c r="H194" i="7"/>
  <c r="H215" i="7"/>
  <c r="H254" i="7"/>
  <c r="H8" i="7"/>
  <c r="H26" i="7"/>
  <c r="H4" i="7"/>
  <c r="H40" i="7"/>
  <c r="H62" i="7"/>
  <c r="H86" i="7"/>
  <c r="H110" i="7"/>
  <c r="H134" i="7"/>
  <c r="H155" i="7"/>
  <c r="H189" i="7"/>
  <c r="H210" i="7"/>
  <c r="H223" i="7"/>
  <c r="H244" i="7"/>
  <c r="H249" i="7"/>
  <c r="H16" i="7"/>
  <c r="H21" i="7"/>
  <c r="H49" i="7"/>
  <c r="H57" i="7"/>
  <c r="H73" i="7"/>
  <c r="H81" i="7"/>
  <c r="H97" i="7"/>
  <c r="H105" i="7"/>
  <c r="H121" i="7"/>
  <c r="H129" i="7"/>
  <c r="H150" i="7"/>
  <c r="H163" i="7"/>
  <c r="H184" i="7"/>
  <c r="H205" i="7"/>
  <c r="H218" i="7"/>
  <c r="H239" i="7"/>
  <c r="H6" i="7"/>
  <c r="H11" i="7"/>
  <c r="H42" i="7"/>
  <c r="H145" i="7"/>
  <c r="H158" i="7"/>
  <c r="H179" i="7"/>
  <c r="H213" i="7"/>
  <c r="H234" i="7"/>
  <c r="H247" i="7"/>
  <c r="H265" i="7"/>
  <c r="H19" i="7"/>
  <c r="H37" i="7"/>
  <c r="H153" i="7"/>
  <c r="H174" i="7"/>
  <c r="H187" i="7"/>
  <c r="H208" i="7"/>
  <c r="H229" i="7"/>
  <c r="H242" i="7"/>
  <c r="H260" i="7"/>
  <c r="H14" i="7"/>
  <c r="H32" i="7"/>
  <c r="H47" i="7"/>
  <c r="H55" i="7"/>
  <c r="H71" i="7"/>
  <c r="H79" i="7"/>
  <c r="H95" i="7"/>
  <c r="H103" i="7"/>
  <c r="H119" i="7"/>
  <c r="H127" i="7"/>
  <c r="H148" i="7"/>
  <c r="H169" i="7"/>
  <c r="H182" i="7"/>
  <c r="H203" i="7"/>
  <c r="H237" i="7"/>
  <c r="H268" i="7"/>
  <c r="H9" i="7"/>
  <c r="F3" i="7"/>
  <c r="H30" i="7"/>
  <c r="H35" i="7"/>
  <c r="H157" i="7"/>
  <c r="H170" i="7"/>
  <c r="H191" i="7"/>
  <c r="H225" i="7"/>
  <c r="H246" i="7"/>
  <c r="H251" i="7"/>
  <c r="H18" i="7"/>
  <c r="H23" i="7"/>
  <c r="H43" i="7"/>
  <c r="H59" i="7"/>
  <c r="H67" i="7"/>
  <c r="H83" i="7"/>
  <c r="H91" i="7"/>
  <c r="H107" i="7"/>
  <c r="H115" i="7"/>
  <c r="H131" i="7"/>
  <c r="H165" i="7"/>
  <c r="H186" i="7"/>
  <c r="H199" i="7"/>
  <c r="H220" i="7"/>
  <c r="H241" i="7"/>
  <c r="H259" i="7"/>
  <c r="H31" i="7"/>
  <c r="H13" i="7"/>
  <c r="G10" i="5"/>
  <c r="F6" i="5"/>
  <c r="F10" i="5"/>
  <c r="E6" i="5"/>
  <c r="E10" i="5"/>
  <c r="D6" i="5"/>
  <c r="D10" i="5"/>
  <c r="C6" i="5"/>
  <c r="K4" i="1"/>
  <c r="K5" i="1" s="1"/>
  <c r="J25" i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M3" i="1"/>
  <c r="M4" i="1" s="1"/>
  <c r="M5" i="1" s="1"/>
  <c r="M6" i="1" s="1"/>
  <c r="M7" i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F11" i="5" l="1"/>
  <c r="F12" i="5"/>
  <c r="H8" i="5"/>
  <c r="G9" i="5"/>
  <c r="C13" i="5"/>
  <c r="D13" i="5"/>
  <c r="K10" i="5"/>
  <c r="L10" i="5"/>
  <c r="K6" i="5"/>
  <c r="I308" i="7"/>
  <c r="K297" i="7"/>
  <c r="K298" i="7" s="1"/>
  <c r="K299" i="7" s="1"/>
  <c r="K300" i="7" s="1"/>
  <c r="K301" i="7" s="1"/>
  <c r="K302" i="7" s="1"/>
  <c r="K303" i="7" s="1"/>
  <c r="K304" i="7" s="1"/>
  <c r="K305" i="7" s="1"/>
  <c r="K306" i="7" s="1"/>
  <c r="K307" i="7" s="1"/>
  <c r="K308" i="7" s="1"/>
  <c r="J297" i="7"/>
  <c r="J298" i="7" s="1"/>
  <c r="J299" i="7" s="1"/>
  <c r="J300" i="7" s="1"/>
  <c r="J301" i="7" s="1"/>
  <c r="J302" i="7" s="1"/>
  <c r="J303" i="7" s="1"/>
  <c r="J304" i="7" s="1"/>
  <c r="J305" i="7" s="1"/>
  <c r="J306" i="7" s="1"/>
  <c r="J307" i="7" s="1"/>
  <c r="M6" i="5"/>
  <c r="H10" i="5"/>
  <c r="H6" i="5"/>
  <c r="I10" i="5"/>
  <c r="I6" i="5"/>
  <c r="J6" i="5"/>
  <c r="L6" i="5"/>
  <c r="J10" i="5"/>
  <c r="G2" i="5"/>
  <c r="F3" i="5"/>
  <c r="K3" i="7"/>
  <c r="K4" i="7" s="1"/>
  <c r="K5" i="7" s="1"/>
  <c r="K6" i="7" s="1"/>
  <c r="K7" i="7" s="1"/>
  <c r="K8" i="7" s="1"/>
  <c r="K9" i="7" s="1"/>
  <c r="K10" i="7" s="1"/>
  <c r="K11" i="7" s="1"/>
  <c r="K12" i="7" s="1"/>
  <c r="K13" i="7" s="1"/>
  <c r="K14" i="7" s="1"/>
  <c r="K15" i="7" s="1"/>
  <c r="K16" i="7" s="1"/>
  <c r="K17" i="7" s="1"/>
  <c r="K18" i="7" s="1"/>
  <c r="M3" i="7"/>
  <c r="M4" i="7" s="1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34" i="7" s="1"/>
  <c r="M35" i="7" s="1"/>
  <c r="M36" i="7" s="1"/>
  <c r="M37" i="7" s="1"/>
  <c r="M38" i="7" s="1"/>
  <c r="M39" i="7" s="1"/>
  <c r="M40" i="7" s="1"/>
  <c r="M41" i="7" s="1"/>
  <c r="M42" i="7" s="1"/>
  <c r="M43" i="7" s="1"/>
  <c r="M44" i="7" s="1"/>
  <c r="M45" i="7" s="1"/>
  <c r="M46" i="7" s="1"/>
  <c r="M47" i="7" s="1"/>
  <c r="M48" i="7" s="1"/>
  <c r="M49" i="7" s="1"/>
  <c r="M50" i="7" s="1"/>
  <c r="M51" i="7" s="1"/>
  <c r="M52" i="7" s="1"/>
  <c r="M53" i="7" s="1"/>
  <c r="M54" i="7" s="1"/>
  <c r="M55" i="7" s="1"/>
  <c r="M56" i="7" s="1"/>
  <c r="M57" i="7" s="1"/>
  <c r="M58" i="7" s="1"/>
  <c r="M59" i="7" s="1"/>
  <c r="M60" i="7" s="1"/>
  <c r="M61" i="7" s="1"/>
  <c r="M62" i="7" s="1"/>
  <c r="M63" i="7" s="1"/>
  <c r="M64" i="7" s="1"/>
  <c r="M65" i="7" s="1"/>
  <c r="M66" i="7" s="1"/>
  <c r="M67" i="7" s="1"/>
  <c r="M68" i="7" s="1"/>
  <c r="M69" i="7" s="1"/>
  <c r="M70" i="7" s="1"/>
  <c r="M71" i="7" s="1"/>
  <c r="M72" i="7" s="1"/>
  <c r="M73" i="7" s="1"/>
  <c r="M74" i="7" s="1"/>
  <c r="M75" i="7" s="1"/>
  <c r="M76" i="7" s="1"/>
  <c r="M77" i="7" s="1"/>
  <c r="M78" i="7" s="1"/>
  <c r="M79" i="7" s="1"/>
  <c r="M80" i="7" s="1"/>
  <c r="M81" i="7" s="1"/>
  <c r="M82" i="7" s="1"/>
  <c r="M83" i="7" s="1"/>
  <c r="M84" i="7" s="1"/>
  <c r="M85" i="7" s="1"/>
  <c r="M86" i="7" s="1"/>
  <c r="M87" i="7" s="1"/>
  <c r="M88" i="7" s="1"/>
  <c r="M89" i="7" s="1"/>
  <c r="M90" i="7" s="1"/>
  <c r="M91" i="7" s="1"/>
  <c r="M92" i="7" s="1"/>
  <c r="M93" i="7" s="1"/>
  <c r="M94" i="7" s="1"/>
  <c r="M95" i="7" s="1"/>
  <c r="M96" i="7" s="1"/>
  <c r="M97" i="7" s="1"/>
  <c r="M98" i="7" s="1"/>
  <c r="M99" i="7" s="1"/>
  <c r="M100" i="7" s="1"/>
  <c r="M101" i="7" s="1"/>
  <c r="M102" i="7" s="1"/>
  <c r="M103" i="7" s="1"/>
  <c r="M104" i="7" s="1"/>
  <c r="M105" i="7" s="1"/>
  <c r="M106" i="7" s="1"/>
  <c r="M107" i="7" s="1"/>
  <c r="M108" i="7" s="1"/>
  <c r="M109" i="7" s="1"/>
  <c r="M110" i="7" s="1"/>
  <c r="M111" i="7" s="1"/>
  <c r="M112" i="7" s="1"/>
  <c r="M113" i="7" s="1"/>
  <c r="M114" i="7" s="1"/>
  <c r="M115" i="7" s="1"/>
  <c r="M116" i="7" s="1"/>
  <c r="M117" i="7" s="1"/>
  <c r="M118" i="7" s="1"/>
  <c r="M119" i="7" s="1"/>
  <c r="M120" i="7" s="1"/>
  <c r="M121" i="7" s="1"/>
  <c r="M122" i="7" s="1"/>
  <c r="M123" i="7" s="1"/>
  <c r="M124" i="7" s="1"/>
  <c r="M125" i="7" s="1"/>
  <c r="M126" i="7" s="1"/>
  <c r="M127" i="7" s="1"/>
  <c r="M128" i="7" s="1"/>
  <c r="M129" i="7" s="1"/>
  <c r="M130" i="7" s="1"/>
  <c r="M131" i="7" s="1"/>
  <c r="M132" i="7" s="1"/>
  <c r="M133" i="7" s="1"/>
  <c r="M134" i="7" s="1"/>
  <c r="M135" i="7" s="1"/>
  <c r="M136" i="7" s="1"/>
  <c r="M137" i="7" s="1"/>
  <c r="M138" i="7" s="1"/>
  <c r="M139" i="7" s="1"/>
  <c r="M140" i="7" s="1"/>
  <c r="M141" i="7" s="1"/>
  <c r="M142" i="7" s="1"/>
  <c r="M143" i="7" s="1"/>
  <c r="M144" i="7" s="1"/>
  <c r="M145" i="7" s="1"/>
  <c r="M146" i="7" s="1"/>
  <c r="M147" i="7" s="1"/>
  <c r="M148" i="7" s="1"/>
  <c r="M149" i="7" s="1"/>
  <c r="M150" i="7" s="1"/>
  <c r="M151" i="7" s="1"/>
  <c r="M152" i="7" s="1"/>
  <c r="M153" i="7" s="1"/>
  <c r="M154" i="7" s="1"/>
  <c r="M155" i="7" s="1"/>
  <c r="M156" i="7" s="1"/>
  <c r="M157" i="7" s="1"/>
  <c r="M158" i="7" s="1"/>
  <c r="M159" i="7" s="1"/>
  <c r="M160" i="7" s="1"/>
  <c r="M161" i="7" s="1"/>
  <c r="M162" i="7" s="1"/>
  <c r="M163" i="7" s="1"/>
  <c r="M164" i="7" s="1"/>
  <c r="M165" i="7" s="1"/>
  <c r="M166" i="7" s="1"/>
  <c r="M167" i="7" s="1"/>
  <c r="M168" i="7" s="1"/>
  <c r="M169" i="7" s="1"/>
  <c r="M170" i="7" s="1"/>
  <c r="M171" i="7" s="1"/>
  <c r="M172" i="7" s="1"/>
  <c r="M173" i="7" s="1"/>
  <c r="M174" i="7" s="1"/>
  <c r="M175" i="7" s="1"/>
  <c r="M176" i="7" s="1"/>
  <c r="M177" i="7" s="1"/>
  <c r="M178" i="7" s="1"/>
  <c r="M179" i="7" s="1"/>
  <c r="M180" i="7" s="1"/>
  <c r="M181" i="7" s="1"/>
  <c r="M182" i="7" s="1"/>
  <c r="M183" i="7" s="1"/>
  <c r="M184" i="7" s="1"/>
  <c r="M185" i="7" s="1"/>
  <c r="M186" i="7" s="1"/>
  <c r="M187" i="7" s="1"/>
  <c r="M188" i="7" s="1"/>
  <c r="M189" i="7" s="1"/>
  <c r="M190" i="7" s="1"/>
  <c r="M191" i="7" s="1"/>
  <c r="M192" i="7" s="1"/>
  <c r="M193" i="7" s="1"/>
  <c r="M194" i="7" s="1"/>
  <c r="M195" i="7" s="1"/>
  <c r="M196" i="7" s="1"/>
  <c r="M197" i="7" s="1"/>
  <c r="M198" i="7" s="1"/>
  <c r="M199" i="7" s="1"/>
  <c r="M200" i="7" s="1"/>
  <c r="M201" i="7" s="1"/>
  <c r="M202" i="7" s="1"/>
  <c r="M203" i="7" s="1"/>
  <c r="M204" i="7" s="1"/>
  <c r="M205" i="7" s="1"/>
  <c r="M206" i="7" s="1"/>
  <c r="M207" i="7" s="1"/>
  <c r="M208" i="7" s="1"/>
  <c r="M209" i="7" s="1"/>
  <c r="M210" i="7" s="1"/>
  <c r="M211" i="7" s="1"/>
  <c r="M212" i="7" s="1"/>
  <c r="M213" i="7" s="1"/>
  <c r="M214" i="7" s="1"/>
  <c r="M215" i="7" s="1"/>
  <c r="M216" i="7" s="1"/>
  <c r="M217" i="7" s="1"/>
  <c r="M218" i="7" s="1"/>
  <c r="M219" i="7" s="1"/>
  <c r="M220" i="7" s="1"/>
  <c r="M221" i="7" s="1"/>
  <c r="M222" i="7" s="1"/>
  <c r="M223" i="7" s="1"/>
  <c r="M224" i="7" s="1"/>
  <c r="M225" i="7" s="1"/>
  <c r="M226" i="7" s="1"/>
  <c r="M227" i="7" s="1"/>
  <c r="M228" i="7" s="1"/>
  <c r="M229" i="7" s="1"/>
  <c r="M230" i="7" s="1"/>
  <c r="M231" i="7" s="1"/>
  <c r="M232" i="7" s="1"/>
  <c r="M233" i="7" s="1"/>
  <c r="M234" i="7" s="1"/>
  <c r="M235" i="7" s="1"/>
  <c r="M236" i="7" s="1"/>
  <c r="M237" i="7" s="1"/>
  <c r="M238" i="7" s="1"/>
  <c r="M239" i="7" s="1"/>
  <c r="M240" i="7" s="1"/>
  <c r="M241" i="7" s="1"/>
  <c r="M242" i="7" s="1"/>
  <c r="M243" i="7" s="1"/>
  <c r="M244" i="7" s="1"/>
  <c r="M245" i="7" s="1"/>
  <c r="M246" i="7" s="1"/>
  <c r="M247" i="7" s="1"/>
  <c r="M248" i="7" s="1"/>
  <c r="M249" i="7" s="1"/>
  <c r="M250" i="7" s="1"/>
  <c r="M251" i="7" s="1"/>
  <c r="M252" i="7" s="1"/>
  <c r="M253" i="7" s="1"/>
  <c r="M254" i="7" s="1"/>
  <c r="M255" i="7" s="1"/>
  <c r="M256" i="7" s="1"/>
  <c r="M257" i="7" s="1"/>
  <c r="M258" i="7" s="1"/>
  <c r="M259" i="7" s="1"/>
  <c r="M260" i="7" s="1"/>
  <c r="M261" i="7" s="1"/>
  <c r="M262" i="7" s="1"/>
  <c r="M263" i="7" s="1"/>
  <c r="M264" i="7" s="1"/>
  <c r="M265" i="7" s="1"/>
  <c r="M266" i="7" s="1"/>
  <c r="M267" i="7" s="1"/>
  <c r="M268" i="7" s="1"/>
  <c r="M269" i="7" s="1"/>
  <c r="M270" i="7" s="1"/>
  <c r="M271" i="7" s="1"/>
  <c r="M272" i="7" s="1"/>
  <c r="M273" i="7" s="1"/>
  <c r="M274" i="7" s="1"/>
  <c r="M275" i="7" s="1"/>
  <c r="M276" i="7" s="1"/>
  <c r="M277" i="7" s="1"/>
  <c r="M278" i="7" s="1"/>
  <c r="M279" i="7" s="1"/>
  <c r="M280" i="7" s="1"/>
  <c r="M281" i="7" s="1"/>
  <c r="M282" i="7" s="1"/>
  <c r="M283" i="7" s="1"/>
  <c r="M284" i="7" s="1"/>
  <c r="M285" i="7" s="1"/>
  <c r="M286" i="7" s="1"/>
  <c r="M287" i="7" s="1"/>
  <c r="M288" i="7" s="1"/>
  <c r="M289" i="7" s="1"/>
  <c r="M290" i="7" s="1"/>
  <c r="M291" i="7" s="1"/>
  <c r="M292" i="7" s="1"/>
  <c r="M293" i="7" s="1"/>
  <c r="M294" i="7" s="1"/>
  <c r="M295" i="7" s="1"/>
  <c r="M296" i="7" s="1"/>
  <c r="M297" i="7" s="1"/>
  <c r="M298" i="7" s="1"/>
  <c r="M299" i="7" s="1"/>
  <c r="M300" i="7" s="1"/>
  <c r="M301" i="7" s="1"/>
  <c r="M302" i="7" s="1"/>
  <c r="M303" i="7" s="1"/>
  <c r="M304" i="7" s="1"/>
  <c r="M305" i="7" s="1"/>
  <c r="M306" i="7" s="1"/>
  <c r="M307" i="7" s="1"/>
  <c r="M308" i="7" s="1"/>
  <c r="M309" i="7" s="1"/>
  <c r="M310" i="7" s="1"/>
  <c r="M311" i="7" s="1"/>
  <c r="M312" i="7" s="1"/>
  <c r="M313" i="7" s="1"/>
  <c r="M314" i="7" s="1"/>
  <c r="M315" i="7" s="1"/>
  <c r="M316" i="7" s="1"/>
  <c r="M317" i="7" s="1"/>
  <c r="M318" i="7" s="1"/>
  <c r="M319" i="7" s="1"/>
  <c r="M320" i="7" s="1"/>
  <c r="M321" i="7" s="1"/>
  <c r="M322" i="7" s="1"/>
  <c r="M323" i="7" s="1"/>
  <c r="M324" i="7" s="1"/>
  <c r="M325" i="7" s="1"/>
  <c r="M326" i="7" s="1"/>
  <c r="M327" i="7" s="1"/>
  <c r="M328" i="7" s="1"/>
  <c r="M329" i="7" s="1"/>
  <c r="M330" i="7" s="1"/>
  <c r="M331" i="7" s="1"/>
  <c r="M332" i="7" s="1"/>
  <c r="M333" i="7" s="1"/>
  <c r="M334" i="7" s="1"/>
  <c r="M335" i="7" s="1"/>
  <c r="M336" i="7" s="1"/>
  <c r="M337" i="7" s="1"/>
  <c r="M338" i="7" s="1"/>
  <c r="M339" i="7" s="1"/>
  <c r="M340" i="7" s="1"/>
  <c r="M341" i="7" s="1"/>
  <c r="M342" i="7" s="1"/>
  <c r="M343" i="7" s="1"/>
  <c r="M344" i="7" s="1"/>
  <c r="M345" i="7" s="1"/>
  <c r="M346" i="7" s="1"/>
  <c r="M347" i="7" s="1"/>
  <c r="M348" i="7" s="1"/>
  <c r="M349" i="7" s="1"/>
  <c r="G12" i="5" l="1"/>
  <c r="G11" i="5"/>
  <c r="I8" i="5"/>
  <c r="H9" i="5"/>
  <c r="E13" i="5"/>
  <c r="J308" i="7"/>
  <c r="I309" i="7"/>
  <c r="K19" i="7"/>
  <c r="K20" i="7" s="1"/>
  <c r="K21" i="7" s="1"/>
  <c r="K22" i="7" s="1"/>
  <c r="K23" i="7" s="1"/>
  <c r="K24" i="7" s="1"/>
  <c r="K25" i="7" s="1"/>
  <c r="K26" i="7" s="1"/>
  <c r="K27" i="7" s="1"/>
  <c r="K28" i="7" s="1"/>
  <c r="K29" i="7" s="1"/>
  <c r="K30" i="7" s="1"/>
  <c r="K31" i="7" s="1"/>
  <c r="K32" i="7" s="1"/>
  <c r="K33" i="7" s="1"/>
  <c r="K34" i="7" s="1"/>
  <c r="K35" i="7" s="1"/>
  <c r="K36" i="7" s="1"/>
  <c r="K37" i="7" s="1"/>
  <c r="K38" i="7" s="1"/>
  <c r="H2" i="5"/>
  <c r="G3" i="5"/>
  <c r="H12" i="5" l="1"/>
  <c r="H11" i="5"/>
  <c r="J8" i="5"/>
  <c r="I9" i="5"/>
  <c r="F13" i="5"/>
  <c r="J309" i="7"/>
  <c r="K309" i="7"/>
  <c r="I310" i="7"/>
  <c r="G133" i="3"/>
  <c r="D133" i="3" s="1"/>
  <c r="G139" i="3"/>
  <c r="D139" i="3" s="1"/>
  <c r="G141" i="3"/>
  <c r="D141" i="3" s="1"/>
  <c r="K39" i="7"/>
  <c r="K40" i="7" s="1"/>
  <c r="K41" i="7" s="1"/>
  <c r="K42" i="7" s="1"/>
  <c r="K43" i="7" s="1"/>
  <c r="K44" i="7" s="1"/>
  <c r="K45" i="7" s="1"/>
  <c r="K46" i="7" s="1"/>
  <c r="K47" i="7" s="1"/>
  <c r="K48" i="7" s="1"/>
  <c r="K49" i="7" s="1"/>
  <c r="K50" i="7" s="1"/>
  <c r="K51" i="7" s="1"/>
  <c r="K52" i="7" s="1"/>
  <c r="K53" i="7" s="1"/>
  <c r="K54" i="7" s="1"/>
  <c r="K55" i="7" s="1"/>
  <c r="K56" i="7" s="1"/>
  <c r="K57" i="7" s="1"/>
  <c r="K58" i="7" s="1"/>
  <c r="K59" i="7" s="1"/>
  <c r="K60" i="7" s="1"/>
  <c r="H3" i="5"/>
  <c r="I2" i="5"/>
  <c r="I12" i="5" l="1"/>
  <c r="I11" i="5"/>
  <c r="K8" i="5"/>
  <c r="J9" i="5"/>
  <c r="G13" i="5"/>
  <c r="I311" i="7"/>
  <c r="G138" i="3"/>
  <c r="D138" i="3" s="1"/>
  <c r="G140" i="3"/>
  <c r="D140" i="3" s="1"/>
  <c r="G135" i="3"/>
  <c r="D135" i="3" s="1"/>
  <c r="G137" i="3"/>
  <c r="D137" i="3" s="1"/>
  <c r="G136" i="3"/>
  <c r="D136" i="3" s="1"/>
  <c r="G132" i="3"/>
  <c r="D132" i="3" s="1"/>
  <c r="G134" i="3"/>
  <c r="D134" i="3" s="1"/>
  <c r="J310" i="7"/>
  <c r="K310" i="7"/>
  <c r="K61" i="7"/>
  <c r="K62" i="7" s="1"/>
  <c r="K63" i="7" s="1"/>
  <c r="K64" i="7" s="1"/>
  <c r="K65" i="7" s="1"/>
  <c r="K66" i="7" s="1"/>
  <c r="K67" i="7" s="1"/>
  <c r="K68" i="7" s="1"/>
  <c r="K69" i="7" s="1"/>
  <c r="K70" i="7" s="1"/>
  <c r="K71" i="7" s="1"/>
  <c r="K72" i="7" s="1"/>
  <c r="K73" i="7" s="1"/>
  <c r="K74" i="7" s="1"/>
  <c r="K75" i="7" s="1"/>
  <c r="K76" i="7" s="1"/>
  <c r="K77" i="7" s="1"/>
  <c r="K78" i="7" s="1"/>
  <c r="K79" i="7" s="1"/>
  <c r="K80" i="7" s="1"/>
  <c r="K81" i="7" s="1"/>
  <c r="J2" i="5"/>
  <c r="I3" i="5"/>
  <c r="J11" i="5" l="1"/>
  <c r="J12" i="5"/>
  <c r="L8" i="5"/>
  <c r="K9" i="5"/>
  <c r="H13" i="5"/>
  <c r="K311" i="7"/>
  <c r="I312" i="7"/>
  <c r="J311" i="7"/>
  <c r="K82" i="7"/>
  <c r="K83" i="7" s="1"/>
  <c r="K84" i="7" s="1"/>
  <c r="K85" i="7" s="1"/>
  <c r="K86" i="7" s="1"/>
  <c r="K87" i="7" s="1"/>
  <c r="K88" i="7" s="1"/>
  <c r="K89" i="7" s="1"/>
  <c r="K90" i="7" s="1"/>
  <c r="K91" i="7" s="1"/>
  <c r="K92" i="7" s="1"/>
  <c r="K93" i="7" s="1"/>
  <c r="K94" i="7" s="1"/>
  <c r="K95" i="7" s="1"/>
  <c r="K96" i="7" s="1"/>
  <c r="K97" i="7" s="1"/>
  <c r="K98" i="7" s="1"/>
  <c r="K99" i="7" s="1"/>
  <c r="K100" i="7" s="1"/>
  <c r="K101" i="7" s="1"/>
  <c r="K2" i="5"/>
  <c r="J3" i="5"/>
  <c r="K12" i="5" l="1"/>
  <c r="K11" i="5"/>
  <c r="M8" i="5"/>
  <c r="M9" i="5" s="1"/>
  <c r="L9" i="5"/>
  <c r="I13" i="5"/>
  <c r="K312" i="7"/>
  <c r="J312" i="7"/>
  <c r="I313" i="7"/>
  <c r="G143" i="3"/>
  <c r="D143" i="3" s="1"/>
  <c r="G149" i="3"/>
  <c r="D149" i="3" s="1"/>
  <c r="G150" i="3"/>
  <c r="D150" i="3" s="1"/>
  <c r="G146" i="3"/>
  <c r="D146" i="3" s="1"/>
  <c r="G147" i="3"/>
  <c r="D147" i="3" s="1"/>
  <c r="G144" i="3"/>
  <c r="D144" i="3" s="1"/>
  <c r="G151" i="3"/>
  <c r="D151" i="3" s="1"/>
  <c r="G142" i="3"/>
  <c r="D142" i="3" s="1"/>
  <c r="G145" i="3"/>
  <c r="D145" i="3" s="1"/>
  <c r="G148" i="3"/>
  <c r="D148" i="3" s="1"/>
  <c r="K102" i="7"/>
  <c r="K103" i="7" s="1"/>
  <c r="K104" i="7" s="1"/>
  <c r="K105" i="7" s="1"/>
  <c r="K106" i="7" s="1"/>
  <c r="K107" i="7" s="1"/>
  <c r="K108" i="7" s="1"/>
  <c r="K109" i="7" s="1"/>
  <c r="K110" i="7" s="1"/>
  <c r="K111" i="7" s="1"/>
  <c r="K112" i="7" s="1"/>
  <c r="K113" i="7" s="1"/>
  <c r="K114" i="7" s="1"/>
  <c r="K115" i="7" s="1"/>
  <c r="K116" i="7" s="1"/>
  <c r="K117" i="7" s="1"/>
  <c r="K118" i="7" s="1"/>
  <c r="K119" i="7" s="1"/>
  <c r="K120" i="7" s="1"/>
  <c r="K121" i="7" s="1"/>
  <c r="K122" i="7" s="1"/>
  <c r="K123" i="7" s="1"/>
  <c r="K124" i="7" s="1"/>
  <c r="L2" i="5"/>
  <c r="K3" i="5"/>
  <c r="L11" i="5" l="1"/>
  <c r="L12" i="5"/>
  <c r="M12" i="5"/>
  <c r="M11" i="5"/>
  <c r="J13" i="5"/>
  <c r="I314" i="7"/>
  <c r="K313" i="7"/>
  <c r="J313" i="7"/>
  <c r="K125" i="7"/>
  <c r="K126" i="7" s="1"/>
  <c r="K127" i="7" s="1"/>
  <c r="K128" i="7" s="1"/>
  <c r="K129" i="7" s="1"/>
  <c r="K130" i="7" s="1"/>
  <c r="K131" i="7" s="1"/>
  <c r="K132" i="7" s="1"/>
  <c r="K133" i="7" s="1"/>
  <c r="K134" i="7" s="1"/>
  <c r="K135" i="7" s="1"/>
  <c r="K136" i="7" s="1"/>
  <c r="K137" i="7" s="1"/>
  <c r="K138" i="7" s="1"/>
  <c r="K139" i="7" s="1"/>
  <c r="K140" i="7" s="1"/>
  <c r="K141" i="7" s="1"/>
  <c r="K142" i="7" s="1"/>
  <c r="K143" i="7" s="1"/>
  <c r="K144" i="7" s="1"/>
  <c r="K145" i="7" s="1"/>
  <c r="K146" i="7" s="1"/>
  <c r="M2" i="5"/>
  <c r="M3" i="5" s="1"/>
  <c r="L3" i="5"/>
  <c r="K13" i="5" l="1"/>
  <c r="N12" i="5" a="1"/>
  <c r="N12" i="5" s="1"/>
  <c r="K314" i="7"/>
  <c r="J314" i="7"/>
  <c r="I315" i="7"/>
  <c r="K147" i="7"/>
  <c r="K148" i="7" s="1"/>
  <c r="K149" i="7" s="1"/>
  <c r="K150" i="7" s="1"/>
  <c r="K151" i="7" s="1"/>
  <c r="K152" i="7" s="1"/>
  <c r="K153" i="7" s="1"/>
  <c r="K154" i="7" s="1"/>
  <c r="K155" i="7" s="1"/>
  <c r="K156" i="7" s="1"/>
  <c r="K157" i="7" s="1"/>
  <c r="K158" i="7" s="1"/>
  <c r="K159" i="7" s="1"/>
  <c r="K160" i="7" s="1"/>
  <c r="K161" i="7" s="1"/>
  <c r="K162" i="7" s="1"/>
  <c r="K163" i="7" s="1"/>
  <c r="K164" i="7" s="1"/>
  <c r="K165" i="7" s="1"/>
  <c r="K166" i="7" s="1"/>
  <c r="K167" i="7" s="1"/>
  <c r="L13" i="5" l="1"/>
  <c r="M13" i="5"/>
  <c r="N11" i="5" a="1"/>
  <c r="N11" i="5" s="1"/>
  <c r="N13" i="5" s="1"/>
  <c r="K315" i="7"/>
  <c r="J315" i="7"/>
  <c r="I316" i="7"/>
  <c r="J316" i="7" l="1"/>
  <c r="I317" i="7"/>
  <c r="G8" i="8"/>
  <c r="G165" i="3"/>
  <c r="D165" i="3" s="1"/>
  <c r="G3" i="8"/>
  <c r="G159" i="3"/>
  <c r="D159" i="3" s="1"/>
  <c r="G2" i="8"/>
  <c r="G156" i="3"/>
  <c r="D156" i="3" s="1"/>
  <c r="G12" i="8"/>
  <c r="D12" i="8" s="1"/>
  <c r="G166" i="3"/>
  <c r="D166" i="3" s="1"/>
  <c r="G158" i="3"/>
  <c r="D158" i="3" s="1"/>
  <c r="G153" i="3"/>
  <c r="D153" i="3" s="1"/>
  <c r="G10" i="8"/>
  <c r="G9" i="8"/>
  <c r="G167" i="3"/>
  <c r="D167" i="3" s="1"/>
  <c r="G152" i="3"/>
  <c r="D152" i="3" s="1"/>
  <c r="G162" i="3"/>
  <c r="D162" i="3" s="1"/>
  <c r="G171" i="3"/>
  <c r="D171" i="3" s="1"/>
  <c r="G161" i="3"/>
  <c r="D161" i="3" s="1"/>
  <c r="G154" i="3"/>
  <c r="D154" i="3" s="1"/>
  <c r="G168" i="3"/>
  <c r="D168" i="3" s="1"/>
  <c r="G155" i="3"/>
  <c r="D155" i="3" s="1"/>
  <c r="G4" i="8"/>
  <c r="G7" i="8"/>
  <c r="G160" i="3"/>
  <c r="D160" i="3" s="1"/>
  <c r="G163" i="3"/>
  <c r="D163" i="3" s="1"/>
  <c r="G5" i="8"/>
  <c r="G11" i="8"/>
  <c r="G169" i="3"/>
  <c r="D169" i="3" s="1"/>
  <c r="G6" i="8"/>
  <c r="G170" i="3"/>
  <c r="D170" i="3" s="1"/>
  <c r="G157" i="3"/>
  <c r="D157" i="3" s="1"/>
  <c r="G164" i="3"/>
  <c r="D164" i="3" s="1"/>
  <c r="K316" i="7"/>
  <c r="K317" i="7" s="1"/>
  <c r="M4" i="8" l="1"/>
  <c r="D4" i="8"/>
  <c r="N4" i="8" s="1"/>
  <c r="K4" i="8"/>
  <c r="L4" i="8" s="1"/>
  <c r="D2" i="8"/>
  <c r="M2" i="8"/>
  <c r="K2" i="8"/>
  <c r="L2" i="8" s="1"/>
  <c r="M3" i="8"/>
  <c r="K3" i="8"/>
  <c r="L3" i="8" s="1"/>
  <c r="D3" i="8"/>
  <c r="N3" i="8" s="1"/>
  <c r="M5" i="8"/>
  <c r="K5" i="8"/>
  <c r="L5" i="8" s="1"/>
  <c r="D5" i="8"/>
  <c r="N5" i="8" s="1"/>
  <c r="M8" i="8"/>
  <c r="K8" i="8"/>
  <c r="L8" i="8" s="1"/>
  <c r="D8" i="8"/>
  <c r="N8" i="8" s="1"/>
  <c r="D11" i="8"/>
  <c r="N11" i="8" s="1"/>
  <c r="K11" i="8"/>
  <c r="L11" i="8" s="1"/>
  <c r="M11" i="8"/>
  <c r="K9" i="8"/>
  <c r="L9" i="8" s="1"/>
  <c r="D9" i="8"/>
  <c r="N9" i="8" s="1"/>
  <c r="M9" i="8"/>
  <c r="K318" i="7"/>
  <c r="K319" i="7" s="1"/>
  <c r="K320" i="7" s="1"/>
  <c r="K321" i="7" s="1"/>
  <c r="K322" i="7" s="1"/>
  <c r="K323" i="7" s="1"/>
  <c r="K324" i="7" s="1"/>
  <c r="K325" i="7" s="1"/>
  <c r="K326" i="7" s="1"/>
  <c r="K327" i="7" s="1"/>
  <c r="K328" i="7" s="1"/>
  <c r="K329" i="7" s="1"/>
  <c r="K330" i="7" s="1"/>
  <c r="K331" i="7" s="1"/>
  <c r="K332" i="7" s="1"/>
  <c r="B18" i="5"/>
  <c r="B14" i="5"/>
  <c r="B17" i="5"/>
  <c r="B15" i="5"/>
  <c r="D14" i="5"/>
  <c r="E17" i="5"/>
  <c r="K15" i="5"/>
  <c r="K14" i="5"/>
  <c r="C15" i="5"/>
  <c r="C14" i="5"/>
  <c r="E15" i="5"/>
  <c r="J14" i="5"/>
  <c r="I15" i="5"/>
  <c r="I14" i="5"/>
  <c r="D17" i="5"/>
  <c r="L14" i="5"/>
  <c r="C17" i="5"/>
  <c r="E14" i="5"/>
  <c r="H15" i="5"/>
  <c r="H14" i="5"/>
  <c r="D15" i="5"/>
  <c r="M15" i="5"/>
  <c r="M14" i="5"/>
  <c r="F17" i="5"/>
  <c r="L15" i="5"/>
  <c r="C18" i="5"/>
  <c r="J15" i="5"/>
  <c r="G17" i="5"/>
  <c r="D18" i="5"/>
  <c r="E18" i="5"/>
  <c r="E19" i="5" s="1"/>
  <c r="H17" i="5"/>
  <c r="I17" i="5"/>
  <c r="F18" i="5"/>
  <c r="F19" i="5" s="1"/>
  <c r="G18" i="5"/>
  <c r="J17" i="5"/>
  <c r="K17" i="5"/>
  <c r="K18" i="5"/>
  <c r="H18" i="5"/>
  <c r="L17" i="5"/>
  <c r="M18" i="5"/>
  <c r="M17" i="5"/>
  <c r="I18" i="5"/>
  <c r="L18" i="5"/>
  <c r="J18" i="5"/>
  <c r="J19" i="5" s="1"/>
  <c r="D7" i="8"/>
  <c r="N7" i="8" s="1"/>
  <c r="M7" i="8"/>
  <c r="K7" i="8"/>
  <c r="L7" i="8" s="1"/>
  <c r="D6" i="8"/>
  <c r="N6" i="8" s="1"/>
  <c r="K6" i="8"/>
  <c r="L6" i="8" s="1"/>
  <c r="M6" i="8"/>
  <c r="D10" i="8"/>
  <c r="N10" i="8" s="1"/>
  <c r="M10" i="8"/>
  <c r="K10" i="8"/>
  <c r="L10" i="8" s="1"/>
  <c r="J317" i="7"/>
  <c r="J318" i="7" s="1"/>
  <c r="J319" i="7" s="1"/>
  <c r="J320" i="7" s="1"/>
  <c r="J321" i="7" s="1"/>
  <c r="J322" i="7" s="1"/>
  <c r="J323" i="7" s="1"/>
  <c r="J324" i="7" s="1"/>
  <c r="J325" i="7" s="1"/>
  <c r="J326" i="7" s="1"/>
  <c r="J327" i="7" s="1"/>
  <c r="J328" i="7" s="1"/>
  <c r="J329" i="7" s="1"/>
  <c r="J330" i="7" s="1"/>
  <c r="J331" i="7" s="1"/>
  <c r="J332" i="7" s="1"/>
  <c r="H19" i="5" l="1"/>
  <c r="H16" i="5"/>
  <c r="I19" i="5"/>
  <c r="L19" i="5"/>
  <c r="G19" i="5"/>
  <c r="D16" i="5"/>
  <c r="R2" i="8" a="1"/>
  <c r="R2" i="8" s="1"/>
  <c r="E16" i="5"/>
  <c r="M19" i="5"/>
  <c r="D19" i="5"/>
  <c r="N18" i="5" a="1"/>
  <c r="N18" i="5" s="1"/>
  <c r="K19" i="5"/>
  <c r="J16" i="5"/>
  <c r="M16" i="5"/>
  <c r="C16" i="5"/>
  <c r="K16" i="5"/>
  <c r="C19" i="5"/>
  <c r="L16" i="5"/>
  <c r="I16" i="5"/>
  <c r="B19" i="5"/>
  <c r="N17" i="5" a="1"/>
  <c r="N17" i="5" s="1"/>
  <c r="B16" i="5"/>
  <c r="J333" i="7"/>
  <c r="J334" i="7" s="1"/>
  <c r="J335" i="7" s="1"/>
  <c r="J336" i="7" s="1"/>
  <c r="J337" i="7" s="1"/>
  <c r="J338" i="7" s="1"/>
  <c r="J339" i="7" s="1"/>
  <c r="J340" i="7" s="1"/>
  <c r="J341" i="7" s="1"/>
  <c r="J342" i="7" s="1"/>
  <c r="J343" i="7" s="1"/>
  <c r="J344" i="7" s="1"/>
  <c r="J345" i="7" s="1"/>
  <c r="J346" i="7" s="1"/>
  <c r="J347" i="7" s="1"/>
  <c r="J348" i="7" s="1"/>
  <c r="J349" i="7" s="1"/>
  <c r="F14" i="5"/>
  <c r="K333" i="7"/>
  <c r="K334" i="7" s="1"/>
  <c r="K335" i="7" s="1"/>
  <c r="K336" i="7" s="1"/>
  <c r="K337" i="7" s="1"/>
  <c r="K338" i="7" s="1"/>
  <c r="K339" i="7" s="1"/>
  <c r="K340" i="7" s="1"/>
  <c r="K341" i="7" s="1"/>
  <c r="K342" i="7" s="1"/>
  <c r="K343" i="7" s="1"/>
  <c r="K344" i="7" s="1"/>
  <c r="K345" i="7" s="1"/>
  <c r="K346" i="7" s="1"/>
  <c r="K347" i="7" s="1"/>
  <c r="K348" i="7" s="1"/>
  <c r="K349" i="7" s="1"/>
  <c r="F15" i="5"/>
  <c r="N2" i="8"/>
  <c r="O2" i="8" s="1"/>
  <c r="D13" i="8"/>
  <c r="N19" i="5" l="1"/>
  <c r="F16" i="5"/>
  <c r="G15" i="5"/>
  <c r="N15" i="5" s="1" a="1"/>
  <c r="N15" i="5" s="1"/>
  <c r="K350" i="7"/>
  <c r="K351" i="7" s="1"/>
  <c r="K352" i="7" s="1"/>
  <c r="G14" i="5"/>
  <c r="J350" i="7"/>
  <c r="J351" i="7" s="1"/>
  <c r="J352" i="7" s="1"/>
  <c r="G16" i="5" l="1"/>
  <c r="N14" i="5" a="1"/>
  <c r="N14" i="5" s="1"/>
  <c r="N16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9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</futureMetadata>
  <cellMetadata count="1">
    <bk>
      <rc t="1" v="0"/>
    </bk>
  </cellMetadata>
  <valueMetadata count="395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</valueMetadata>
</metadata>
</file>

<file path=xl/sharedStrings.xml><?xml version="1.0" encoding="utf-8"?>
<sst xmlns="http://schemas.openxmlformats.org/spreadsheetml/2006/main" count="588" uniqueCount="104">
  <si>
    <t xml:space="preserve">Data </t>
  </si>
  <si>
    <t>Patrimônio</t>
  </si>
  <si>
    <t>Ibovespa Fechamento</t>
  </si>
  <si>
    <t>Cota</t>
  </si>
  <si>
    <t>Rent - Kairos</t>
  </si>
  <si>
    <t>Rent - Ibov</t>
  </si>
  <si>
    <t>Acum - Kairos</t>
  </si>
  <si>
    <t>Acum - Ibov</t>
  </si>
  <si>
    <t>MêsAno</t>
  </si>
  <si>
    <t>Mês - Kairos</t>
  </si>
  <si>
    <t>Mês - Ibov</t>
  </si>
  <si>
    <t>Cota 100 - Kairos</t>
  </si>
  <si>
    <t>Cota 100 - Ibov</t>
  </si>
  <si>
    <t>CPF</t>
  </si>
  <si>
    <t>Patrimônio Bruto</t>
  </si>
  <si>
    <t>(%)</t>
  </si>
  <si>
    <t>Data</t>
  </si>
  <si>
    <t>CPF Form</t>
  </si>
  <si>
    <t>Ativo</t>
  </si>
  <si>
    <t>Vlr Total</t>
  </si>
  <si>
    <t>PL</t>
  </si>
  <si>
    <t>Setor</t>
  </si>
  <si>
    <t>LFT</t>
  </si>
  <si>
    <t>Títulos Públicos</t>
  </si>
  <si>
    <t>BBAS3</t>
  </si>
  <si>
    <t>BBSE3</t>
  </si>
  <si>
    <t>BPAC11</t>
  </si>
  <si>
    <t>EGIE3</t>
  </si>
  <si>
    <t>ELET6</t>
  </si>
  <si>
    <t>IVVB11</t>
  </si>
  <si>
    <t>PRIO3</t>
  </si>
  <si>
    <t>USTK11</t>
  </si>
  <si>
    <t>VALE3</t>
  </si>
  <si>
    <t>CAIXA</t>
  </si>
  <si>
    <t>Ticker</t>
  </si>
  <si>
    <t>Empresa</t>
  </si>
  <si>
    <t>Subsetor</t>
  </si>
  <si>
    <t>Banco do Brasil S.A.</t>
  </si>
  <si>
    <t>Intermediários Financeiros</t>
  </si>
  <si>
    <t>Bancos</t>
  </si>
  <si>
    <t>BB Seguridade</t>
  </si>
  <si>
    <t>Previdência e Seguros</t>
  </si>
  <si>
    <t>Seguradoras</t>
  </si>
  <si>
    <t>Banco BTG Pactual S.A.</t>
  </si>
  <si>
    <t>Engie Brasil</t>
  </si>
  <si>
    <t>Energia Elétrica</t>
  </si>
  <si>
    <t>Centrais Eletricas Brasileiras S.A.</t>
  </si>
  <si>
    <t>iShares S&amp;P 500 FIC de Fundo de Indice IE</t>
  </si>
  <si>
    <t>Fundos de índice</t>
  </si>
  <si>
    <t>Ações de mercado externo</t>
  </si>
  <si>
    <t>Petro Rio S.A.</t>
  </si>
  <si>
    <t>Petróleo, Gás e Biocombustíveis</t>
  </si>
  <si>
    <t>Exploração, Refino e Distribuição</t>
  </si>
  <si>
    <t>Investo ETF MSCI US Technology</t>
  </si>
  <si>
    <t>Ações de mercado externo | Tecnologia</t>
  </si>
  <si>
    <t>Vale S.A.</t>
  </si>
  <si>
    <t>Mineração</t>
  </si>
  <si>
    <t>Minerais Metálicos</t>
  </si>
  <si>
    <t>Letra Financeira do Tesouro - Pós Fixado</t>
  </si>
  <si>
    <t>Caixa</t>
  </si>
  <si>
    <t>Banco C/C</t>
  </si>
  <si>
    <t>% PL</t>
  </si>
  <si>
    <t>Categoria</t>
  </si>
  <si>
    <t>Ações</t>
  </si>
  <si>
    <t>Ano</t>
  </si>
  <si>
    <t>2025 - Kairos</t>
  </si>
  <si>
    <t>2025 - Ibov</t>
  </si>
  <si>
    <t>% Ibov</t>
  </si>
  <si>
    <t>Total</t>
  </si>
  <si>
    <t>Selic Hoje</t>
  </si>
  <si>
    <t>2024 - Kairos</t>
  </si>
  <si>
    <t>2024 - Ibov</t>
  </si>
  <si>
    <t>SA</t>
  </si>
  <si>
    <t>QTDE</t>
  </si>
  <si>
    <t>PU</t>
  </si>
  <si>
    <t>-</t>
  </si>
  <si>
    <t>NOVO % PL</t>
  </si>
  <si>
    <t>NOVA QTDE</t>
  </si>
  <si>
    <t>MOV</t>
  </si>
  <si>
    <t>AURE3</t>
  </si>
  <si>
    <t>Auren Energia S.A.</t>
  </si>
  <si>
    <t>SldAnt</t>
  </si>
  <si>
    <t>SldAtu</t>
  </si>
  <si>
    <t>2026 - Kairos</t>
  </si>
  <si>
    <t>2026 - Ibov</t>
  </si>
  <si>
    <t>SHUL4</t>
  </si>
  <si>
    <t>Schulz S.A</t>
  </si>
  <si>
    <t>Bens Industriais</t>
  </si>
  <si>
    <t>Máquinas e Equipamentos</t>
  </si>
  <si>
    <t>AXIA6</t>
  </si>
  <si>
    <t>ID COTISTA (BRITECH)</t>
  </si>
  <si>
    <t>NOME COTISTA</t>
  </si>
  <si>
    <t>Alex Sandro Dantas da Paixao</t>
  </si>
  <si>
    <t>Andre Otsuka Sato</t>
  </si>
  <si>
    <t>Daniel Soares de Lima</t>
  </si>
  <si>
    <t>Joao Pedro Bassi</t>
  </si>
  <si>
    <t>JOAO PEDRO REZENDE CARPI</t>
  </si>
  <si>
    <t>Lohan Tavares de Lima</t>
  </si>
  <si>
    <t>Maico Felipe Sureck</t>
  </si>
  <si>
    <t>Mateus Muzzillo Coelho</t>
  </si>
  <si>
    <t>Noemia Eri Matsumoto</t>
  </si>
  <si>
    <t>Pablo de Abreu Oliveira</t>
  </si>
  <si>
    <t>Rafael Brandao Souza</t>
  </si>
  <si>
    <t>Silvio Tadeu Sureck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</si>
</sst>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#,##0.000000"/>
    <numFmt numFmtId="166" formatCode="#,##0.00000000"/>
    <numFmt numFmtId="167" formatCode="0.0000%"/>
    <numFmt numFmtId="168" formatCode="0.00000%"/>
    <numFmt numFmtId="174" formatCode="0.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7"/>
      <color rgb="FF000000"/>
      <name val="Times New Roman"/>
      <family val="1"/>
    </font>
    <font>
      <b/>
      <sz val="11"/>
      <color rgb="FFFFFFFF"/>
      <name val="Aptos Narrow"/>
      <family val="2"/>
    </font>
    <font>
      <b/>
      <sz val="11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5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1">
    <xf numFmtId="0" fontId="0" fillId="0" borderId="0" xfId="0"/>
    <xf numFmtId="10" fontId="0" fillId="0" borderId="0" xfId="0" applyNumberFormat="1"/>
    <xf numFmtId="164" fontId="0" fillId="0" borderId="0" xfId="1" applyFont="1"/>
    <xf numFmtId="4" fontId="0" fillId="0" borderId="0" xfId="0" applyNumberFormat="1"/>
    <xf numFmtId="10" fontId="2" fillId="2" borderId="3" xfId="0" applyNumberFormat="1" applyFont="1" applyFill="1" applyBorder="1"/>
    <xf numFmtId="4" fontId="2" fillId="2" borderId="3" xfId="0" applyNumberFormat="1" applyFont="1" applyFill="1" applyBorder="1"/>
    <xf numFmtId="4" fontId="2" fillId="2" borderId="4" xfId="0" applyNumberFormat="1" applyFont="1" applyFill="1" applyBorder="1"/>
    <xf numFmtId="0" fontId="6" fillId="2" borderId="0" xfId="0" applyFont="1" applyFill="1" applyAlignment="1">
      <alignment horizontal="center" vertical="center"/>
    </xf>
    <xf numFmtId="0" fontId="0" fillId="3" borderId="0" xfId="0" applyFill="1"/>
    <xf numFmtId="14" fontId="0" fillId="5" borderId="0" xfId="0" applyNumberFormat="1" applyFill="1"/>
    <xf numFmtId="0" fontId="0" fillId="5" borderId="0" xfId="0" applyFill="1"/>
    <xf numFmtId="4" fontId="0" fillId="5" borderId="0" xfId="0" applyNumberFormat="1" applyFill="1"/>
    <xf numFmtId="14" fontId="0" fillId="5" borderId="10" xfId="0" applyNumberFormat="1" applyFill="1" applyBorder="1"/>
    <xf numFmtId="0" fontId="0" fillId="5" borderId="10" xfId="0" applyFill="1" applyBorder="1"/>
    <xf numFmtId="4" fontId="0" fillId="5" borderId="10" xfId="0" applyNumberFormat="1" applyFill="1" applyBorder="1"/>
    <xf numFmtId="0" fontId="3" fillId="4" borderId="2" xfId="0" applyFont="1" applyFill="1" applyBorder="1"/>
    <xf numFmtId="0" fontId="3" fillId="4" borderId="3" xfId="0" applyFont="1" applyFill="1" applyBorder="1"/>
    <xf numFmtId="164" fontId="3" fillId="4" borderId="3" xfId="1" applyFont="1" applyFill="1" applyBorder="1"/>
    <xf numFmtId="10" fontId="3" fillId="4" borderId="3" xfId="0" applyNumberFormat="1" applyFont="1" applyFill="1" applyBorder="1"/>
    <xf numFmtId="14" fontId="5" fillId="5" borderId="5" xfId="0" applyNumberFormat="1" applyFont="1" applyFill="1" applyBorder="1" applyAlignment="1">
      <alignment vertical="center"/>
    </xf>
    <xf numFmtId="4" fontId="5" fillId="5" borderId="1" xfId="1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right" vertical="center"/>
    </xf>
    <xf numFmtId="10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vertical="center"/>
    </xf>
    <xf numFmtId="10" fontId="5" fillId="5" borderId="1" xfId="0" applyNumberFormat="1" applyFont="1" applyFill="1" applyBorder="1" applyAlignment="1">
      <alignment vertical="center"/>
    </xf>
    <xf numFmtId="14" fontId="5" fillId="5" borderId="7" xfId="0" applyNumberFormat="1" applyFont="1" applyFill="1" applyBorder="1" applyAlignment="1">
      <alignment vertical="center"/>
    </xf>
    <xf numFmtId="4" fontId="5" fillId="5" borderId="8" xfId="1" applyNumberFormat="1" applyFont="1" applyFill="1" applyBorder="1" applyAlignment="1">
      <alignment horizontal="center" vertical="center"/>
    </xf>
    <xf numFmtId="165" fontId="5" fillId="5" borderId="8" xfId="0" applyNumberFormat="1" applyFont="1" applyFill="1" applyBorder="1" applyAlignment="1">
      <alignment horizontal="right" vertical="center"/>
    </xf>
    <xf numFmtId="10" fontId="5" fillId="5" borderId="8" xfId="0" applyNumberFormat="1" applyFont="1" applyFill="1" applyBorder="1" applyAlignment="1">
      <alignment horizontal="right" vertical="center"/>
    </xf>
    <xf numFmtId="10" fontId="5" fillId="6" borderId="1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165" fontId="5" fillId="6" borderId="6" xfId="0" applyNumberFormat="1" applyFont="1" applyFill="1" applyBorder="1" applyAlignment="1">
      <alignment horizontal="right" vertical="center"/>
    </xf>
    <xf numFmtId="10" fontId="5" fillId="6" borderId="8" xfId="0" applyNumberFormat="1" applyFont="1" applyFill="1" applyBorder="1" applyAlignment="1">
      <alignment horizontal="right" vertical="center"/>
    </xf>
    <xf numFmtId="165" fontId="5" fillId="6" borderId="8" xfId="0" applyNumberFormat="1" applyFont="1" applyFill="1" applyBorder="1" applyAlignment="1">
      <alignment horizontal="right" vertical="center"/>
    </xf>
    <xf numFmtId="165" fontId="5" fillId="6" borderId="9" xfId="0" applyNumberFormat="1" applyFont="1" applyFill="1" applyBorder="1" applyAlignment="1">
      <alignment horizontal="right" vertical="center"/>
    </xf>
    <xf numFmtId="0" fontId="7" fillId="4" borderId="0" xfId="0" applyFont="1" applyFill="1" applyAlignment="1">
      <alignment horizontal="center" vertical="center"/>
    </xf>
    <xf numFmtId="4" fontId="7" fillId="4" borderId="0" xfId="0" applyNumberFormat="1" applyFont="1" applyFill="1" applyAlignment="1">
      <alignment horizontal="center" vertical="center"/>
    </xf>
    <xf numFmtId="14" fontId="0" fillId="7" borderId="0" xfId="0" applyNumberFormat="1" applyFill="1"/>
    <xf numFmtId="0" fontId="4" fillId="7" borderId="0" xfId="0" applyFont="1" applyFill="1" applyAlignment="1">
      <alignment horizontal="center" vertical="center"/>
    </xf>
    <xf numFmtId="4" fontId="4" fillId="7" borderId="0" xfId="0" applyNumberFormat="1" applyFont="1" applyFill="1" applyAlignment="1">
      <alignment horizontal="center" vertical="center"/>
    </xf>
    <xf numFmtId="10" fontId="4" fillId="7" borderId="0" xfId="0" applyNumberFormat="1" applyFont="1" applyFill="1" applyAlignment="1">
      <alignment horizontal="center" vertical="center"/>
    </xf>
    <xf numFmtId="10" fontId="0" fillId="5" borderId="0" xfId="0" applyNumberFormat="1" applyFill="1"/>
    <xf numFmtId="10" fontId="0" fillId="5" borderId="10" xfId="0" applyNumberFormat="1" applyFill="1" applyBorder="1"/>
    <xf numFmtId="49" fontId="2" fillId="2" borderId="3" xfId="0" applyNumberFormat="1" applyFont="1" applyFill="1" applyBorder="1"/>
    <xf numFmtId="49" fontId="5" fillId="6" borderId="1" xfId="0" applyNumberFormat="1" applyFont="1" applyFill="1" applyBorder="1" applyAlignment="1">
      <alignment horizontal="right" vertical="center"/>
    </xf>
    <xf numFmtId="49" fontId="5" fillId="6" borderId="8" xfId="0" applyNumberFormat="1" applyFont="1" applyFill="1" applyBorder="1" applyAlignment="1">
      <alignment horizontal="right" vertical="center"/>
    </xf>
    <xf numFmtId="49" fontId="0" fillId="0" borderId="0" xfId="0" applyNumberFormat="1"/>
    <xf numFmtId="14" fontId="0" fillId="0" borderId="0" xfId="0" applyNumberFormat="1"/>
    <xf numFmtId="0" fontId="3" fillId="0" borderId="0" xfId="0" applyFont="1"/>
    <xf numFmtId="10" fontId="0" fillId="0" borderId="0" xfId="0" applyNumberFormat="1" applyAlignment="1">
      <alignment horizontal="center"/>
    </xf>
    <xf numFmtId="0" fontId="3" fillId="0" borderId="11" xfId="0" applyFont="1" applyBorder="1"/>
    <xf numFmtId="0" fontId="3" fillId="0" borderId="11" xfId="0" applyFont="1" applyBorder="1" applyAlignment="1">
      <alignment horizontal="center"/>
    </xf>
    <xf numFmtId="14" fontId="0" fillId="7" borderId="10" xfId="0" applyNumberFormat="1" applyFill="1" applyBorder="1"/>
    <xf numFmtId="0" fontId="4" fillId="7" borderId="10" xfId="0" applyFont="1" applyFill="1" applyBorder="1" applyAlignment="1">
      <alignment horizontal="center" vertical="center"/>
    </xf>
    <xf numFmtId="4" fontId="4" fillId="7" borderId="10" xfId="0" applyNumberFormat="1" applyFont="1" applyFill="1" applyBorder="1" applyAlignment="1">
      <alignment horizontal="center" vertical="center"/>
    </xf>
    <xf numFmtId="10" fontId="4" fillId="7" borderId="10" xfId="0" applyNumberFormat="1" applyFont="1" applyFill="1" applyBorder="1" applyAlignment="1">
      <alignment horizontal="center" vertical="center"/>
    </xf>
    <xf numFmtId="0" fontId="0" fillId="3" borderId="10" xfId="0" applyFill="1" applyBorder="1"/>
    <xf numFmtId="14" fontId="5" fillId="5" borderId="1" xfId="0" applyNumberFormat="1" applyFont="1" applyFill="1" applyBorder="1" applyAlignment="1">
      <alignment horizontal="center" vertical="center"/>
    </xf>
    <xf numFmtId="4" fontId="3" fillId="4" borderId="2" xfId="0" applyNumberFormat="1" applyFont="1" applyFill="1" applyBorder="1"/>
    <xf numFmtId="4" fontId="0" fillId="0" borderId="0" xfId="1" applyNumberFormat="1" applyFont="1"/>
    <xf numFmtId="14" fontId="5" fillId="5" borderId="8" xfId="1" applyNumberFormat="1" applyFont="1" applyFill="1" applyBorder="1" applyAlignment="1">
      <alignment horizontal="center" vertical="center"/>
    </xf>
    <xf numFmtId="14" fontId="3" fillId="4" borderId="2" xfId="0" applyNumberFormat="1" applyFont="1" applyFill="1" applyBorder="1"/>
    <xf numFmtId="4" fontId="3" fillId="4" borderId="2" xfId="0" applyNumberFormat="1" applyFont="1" applyFill="1" applyBorder="1" applyAlignment="1">
      <alignment horizontal="center"/>
    </xf>
    <xf numFmtId="4" fontId="5" fillId="5" borderId="1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5" fillId="5" borderId="5" xfId="0" applyNumberFormat="1" applyFont="1" applyFill="1" applyBorder="1" applyAlignment="1">
      <alignment horizontal="center" vertical="center"/>
    </xf>
    <xf numFmtId="4" fontId="5" fillId="5" borderId="7" xfId="0" applyNumberFormat="1" applyFont="1" applyFill="1" applyBorder="1" applyAlignment="1">
      <alignment horizontal="center" vertical="center"/>
    </xf>
    <xf numFmtId="166" fontId="5" fillId="5" borderId="1" xfId="1" applyNumberFormat="1" applyFont="1" applyFill="1" applyBorder="1" applyAlignment="1">
      <alignment horizontal="center" vertical="center"/>
    </xf>
    <xf numFmtId="166" fontId="5" fillId="5" borderId="8" xfId="1" applyNumberFormat="1" applyFont="1" applyFill="1" applyBorder="1" applyAlignment="1">
      <alignment horizontal="center" vertical="center"/>
    </xf>
    <xf numFmtId="166" fontId="3" fillId="4" borderId="3" xfId="0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0" fontId="2" fillId="2" borderId="3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" fontId="2" fillId="2" borderId="3" xfId="0" applyNumberFormat="1" applyFont="1" applyFill="1" applyBorder="1" applyAlignment="1">
      <alignment horizontal="center"/>
    </xf>
    <xf numFmtId="4" fontId="2" fillId="2" borderId="4" xfId="0" applyNumberFormat="1" applyFont="1" applyFill="1" applyBorder="1" applyAlignment="1">
      <alignment horizontal="center"/>
    </xf>
    <xf numFmtId="10" fontId="5" fillId="6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65" fontId="5" fillId="6" borderId="6" xfId="0" applyNumberFormat="1" applyFont="1" applyFill="1" applyBorder="1" applyAlignment="1">
      <alignment horizontal="center" vertical="center"/>
    </xf>
    <xf numFmtId="10" fontId="5" fillId="6" borderId="8" xfId="0" applyNumberFormat="1" applyFont="1" applyFill="1" applyBorder="1" applyAlignment="1">
      <alignment horizontal="center" vertical="center"/>
    </xf>
    <xf numFmtId="49" fontId="5" fillId="6" borderId="8" xfId="0" applyNumberFormat="1" applyFont="1" applyFill="1" applyBorder="1" applyAlignment="1">
      <alignment horizontal="center" vertical="center"/>
    </xf>
    <xf numFmtId="165" fontId="5" fillId="6" borderId="8" xfId="0" applyNumberFormat="1" applyFont="1" applyFill="1" applyBorder="1" applyAlignment="1">
      <alignment horizontal="center" vertical="center"/>
    </xf>
    <xf numFmtId="165" fontId="5" fillId="6" borderId="9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9" fontId="0" fillId="0" borderId="0" xfId="0" applyNumberFormat="1"/>
    <xf numFmtId="0" fontId="3" fillId="4" borderId="0" xfId="0" applyFont="1" applyFill="1"/>
    <xf numFmtId="4" fontId="3" fillId="4" borderId="0" xfId="0" applyNumberFormat="1" applyFont="1" applyFill="1"/>
    <xf numFmtId="10" fontId="3" fillId="4" borderId="0" xfId="0" applyNumberFormat="1" applyFont="1" applyFill="1"/>
    <xf numFmtId="167" fontId="3" fillId="0" borderId="0" xfId="0" applyNumberFormat="1" applyFont="1"/>
    <xf numFmtId="168" fontId="0" fillId="0" borderId="0" xfId="0" applyNumberFormat="1"/>
    <xf numFmtId="10" fontId="3" fillId="0" borderId="0" xfId="0" applyNumberFormat="1" applyFont="1"/>
    <xf numFmtId="10" fontId="9" fillId="0" borderId="0" xfId="0" applyNumberFormat="1" applyFont="1" applyAlignment="1">
      <alignment horizontal="center"/>
    </xf>
    <xf numFmtId="10" fontId="0" fillId="0" borderId="0" xfId="2" applyNumberFormat="1" applyFont="1"/>
    <xf numFmtId="10" fontId="8" fillId="0" borderId="0" xfId="0" applyNumberFormat="1" applyFont="1"/>
    <xf numFmtId="10" fontId="8" fillId="0" borderId="0" xfId="2" applyNumberFormat="1" applyFont="1"/>
    <xf numFmtId="0" fontId="9" fillId="5" borderId="0" xfId="0" applyFont="1" applyFill="1"/>
    <xf numFmtId="0" fontId="10" fillId="0" borderId="0" xfId="0" applyFont="1"/>
    <xf numFmtId="0" fontId="11" fillId="0" borderId="0" xfId="0" applyFont="1"/>
    <xf numFmtId="0" fontId="12" fillId="0" borderId="0" xfId="0" applyFont="1"/>
    <xf numFmtId="4" fontId="12" fillId="0" borderId="0" xfId="0" applyNumberFormat="1" applyFont="1"/>
    <xf numFmtId="10" fontId="12" fillId="0" borderId="0" xfId="0" applyNumberFormat="1" applyFont="1"/>
    <xf numFmtId="3" fontId="0" fillId="0" borderId="0" xfId="0" applyNumberFormat="1"/>
    <xf numFmtId="10" fontId="0" fillId="0" borderId="0" xfId="2" applyNumberFormat="1" applyFont="1" applyFill="1"/>
    <xf numFmtId="43" fontId="0" fillId="0" borderId="0" xfId="0" applyNumberFormat="1"/>
    <xf numFmtId="0" fontId="4" fillId="7" borderId="0" xfId="0" quotePrefix="1" applyNumberFormat="1" applyFont="1" applyFill="1" applyAlignment="1">
      <alignment horizontal="center" vertical="center"/>
    </xf>
    <xf numFmtId="174" fontId="4" fillId="7" borderId="0" xfId="0" applyNumberFormat="1" applyFont="1" applyFill="1" applyAlignment="1">
      <alignment horizontal="center" vertical="center"/>
    </xf>
    <xf numFmtId="174" fontId="4" fillId="7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8" borderId="0" xfId="0" applyFill="1"/>
    <xf numFmtId="0" fontId="0" fillId="0" borderId="0" xfId="0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17/06/relationships/richStyles" Target="richData/rich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Movimentos!$Q$1</c:f>
              <c:strCache>
                <c:ptCount val="1"/>
                <c:pt idx="0">
                  <c:v>SldAnt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847-AD4D-B834-759D79C5F3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847-AD4D-B834-759D79C5F3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847-AD4D-B834-759D79C5F3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847-AD4D-B834-759D79C5F3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847-AD4D-B834-759D79C5F34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847-AD4D-B834-759D79C5F34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Movimentos!$P$2:$P$7</c:f>
              <c:strCache>
                <c:ptCount val="6"/>
                <c:pt idx="0">
                  <c:v>Intermediários Financeiros</c:v>
                </c:pt>
                <c:pt idx="1">
                  <c:v>Previdência e Seguros</c:v>
                </c:pt>
                <c:pt idx="2">
                  <c:v>Energia Elétrica</c:v>
                </c:pt>
                <c:pt idx="3">
                  <c:v>Fundos de índice</c:v>
                </c:pt>
                <c:pt idx="4">
                  <c:v>Petróleo, Gás e Biocombustíveis</c:v>
                </c:pt>
                <c:pt idx="5">
                  <c:v>Mineração</c:v>
                </c:pt>
              </c:strCache>
            </c:strRef>
          </c:cat>
          <c:val>
            <c:numRef>
              <c:f>Movimentos!$Q$2:$Q$7</c:f>
              <c:numCache>
                <c:formatCode>#,##0.00</c:formatCode>
                <c:ptCount val="6"/>
                <c:pt idx="0">
                  <c:v>29780.46</c:v>
                </c:pt>
                <c:pt idx="1">
                  <c:v>6783.58</c:v>
                </c:pt>
                <c:pt idx="2">
                  <c:v>27655.83</c:v>
                </c:pt>
                <c:pt idx="3">
                  <c:v>13948.04</c:v>
                </c:pt>
                <c:pt idx="4">
                  <c:v>16774.5</c:v>
                </c:pt>
                <c:pt idx="5">
                  <c:v>13933.2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63A-2741-BADD-4AA8160A88AB}"/>
            </c:ext>
          </c:extLst>
        </c:ser>
        <c:ser>
          <c:idx val="0"/>
          <c:order val="1"/>
          <c:tx>
            <c:strRef>
              <c:f>Movimentos!$Q$1</c:f>
              <c:strCache>
                <c:ptCount val="1"/>
                <c:pt idx="0">
                  <c:v>SldAnt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63A-2741-BADD-4AA8160A88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63A-2741-BADD-4AA8160A88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63A-2741-BADD-4AA8160A88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63A-2741-BADD-4AA8160A88A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63A-2741-BADD-4AA8160A88A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63A-2741-BADD-4AA8160A88A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Movimentos!$P$2:$P$7</c:f>
              <c:strCache>
                <c:ptCount val="6"/>
                <c:pt idx="0">
                  <c:v>Intermediários Financeiros</c:v>
                </c:pt>
                <c:pt idx="1">
                  <c:v>Previdência e Seguros</c:v>
                </c:pt>
                <c:pt idx="2">
                  <c:v>Energia Elétrica</c:v>
                </c:pt>
                <c:pt idx="3">
                  <c:v>Fundos de índice</c:v>
                </c:pt>
                <c:pt idx="4">
                  <c:v>Petróleo, Gás e Biocombustíveis</c:v>
                </c:pt>
                <c:pt idx="5">
                  <c:v>Mineração</c:v>
                </c:pt>
              </c:strCache>
            </c:strRef>
          </c:cat>
          <c:val>
            <c:numRef>
              <c:f>Movimentos!$Q$2:$Q$7</c:f>
              <c:numCache>
                <c:formatCode>#,##0.00</c:formatCode>
                <c:ptCount val="6"/>
                <c:pt idx="0">
                  <c:v>29780.46</c:v>
                </c:pt>
                <c:pt idx="1">
                  <c:v>6783.58</c:v>
                </c:pt>
                <c:pt idx="2">
                  <c:v>27655.83</c:v>
                </c:pt>
                <c:pt idx="3">
                  <c:v>13948.04</c:v>
                </c:pt>
                <c:pt idx="4">
                  <c:v>16774.5</c:v>
                </c:pt>
                <c:pt idx="5">
                  <c:v>13933.2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63A-2741-BADD-4AA8160A88A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Movimentos!$R$1</c:f>
              <c:strCache>
                <c:ptCount val="1"/>
                <c:pt idx="0">
                  <c:v>SldAtu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C5D-8D4D-B9B6-8A1E3814B8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C5D-8D4D-B9B6-8A1E3814B8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C5D-8D4D-B9B6-8A1E3814B8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C5D-8D4D-B9B6-8A1E3814B8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C5D-8D4D-B9B6-8A1E3814B87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C5D-8D4D-B9B6-8A1E3814B87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Movimentos!$P$2:$P$7</c:f>
              <c:strCache>
                <c:ptCount val="6"/>
                <c:pt idx="0">
                  <c:v>Intermediários Financeiros</c:v>
                </c:pt>
                <c:pt idx="1">
                  <c:v>Previdência e Seguros</c:v>
                </c:pt>
                <c:pt idx="2">
                  <c:v>Energia Elétrica</c:v>
                </c:pt>
                <c:pt idx="3">
                  <c:v>Fundos de índice</c:v>
                </c:pt>
                <c:pt idx="4">
                  <c:v>Petróleo, Gás e Biocombustíveis</c:v>
                </c:pt>
                <c:pt idx="5">
                  <c:v>Mineração</c:v>
                </c:pt>
              </c:strCache>
            </c:strRef>
          </c:cat>
          <c:val>
            <c:numRef>
              <c:f>Movimentos!$R$2:$R$7</c:f>
              <c:numCache>
                <c:formatCode>#,##0.00</c:formatCode>
                <c:ptCount val="6"/>
                <c:pt idx="0">
                  <c:v>27722.252249999998</c:v>
                </c:pt>
                <c:pt idx="1">
                  <c:v>6160.5005000000001</c:v>
                </c:pt>
                <c:pt idx="2">
                  <c:v>29570.402400000003</c:v>
                </c:pt>
                <c:pt idx="3">
                  <c:v>11088.900899999999</c:v>
                </c:pt>
                <c:pt idx="4">
                  <c:v>14785.2012</c:v>
                </c:pt>
                <c:pt idx="5">
                  <c:v>14169.15115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C5D-8D4D-B9B6-8A1E3814B87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349250</xdr:colOff>
      <xdr:row>15</xdr:row>
      <xdr:rowOff>177800</xdr:rowOff>
    </xdr:from>
    <xdr:to>
      <xdr:col>10</xdr:col>
      <xdr:colOff>533400</xdr:colOff>
      <xdr:row>37</xdr:row>
      <xdr:rowOff>127000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D083CF-21C7-ADE0-1788-AC36B5A35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228600</xdr:colOff>
      <xdr:row>16</xdr:row>
      <xdr:rowOff>25400</xdr:rowOff>
    </xdr:from>
    <xdr:to>
      <xdr:col>20</xdr:col>
      <xdr:colOff>666750</xdr:colOff>
      <xdr:row>37</xdr:row>
      <xdr:rowOff>165100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B4DC055-3132-434D-B4CC-5B21AC336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95">
  <rv s="0">
    <fb>127593.49</fb>
    <v>0</v>
  </rv>
  <rv s="0">
    <fb>130416.31</fb>
    <v>0</v>
  </rv>
  <rv s="0">
    <fb>129949.9</fb>
    <v>0</v>
  </rv>
  <rv s="0">
    <fb>128216.92</fb>
    <v>0</v>
  </rv>
  <rv s="0">
    <fb>128025.7</fb>
    <v>0</v>
  </rv>
  <rv s="0">
    <fb>127018.29</fb>
    <v>0</v>
  </rv>
  <rv s="0">
    <fb>127804.13</fb>
    <v>0</v>
  </rv>
  <rv s="0">
    <fb>128725.88</fb>
    <v>0</v>
  </rv>
  <rv s="0">
    <fb>129035.74</fb>
    <v>0</v>
  </rv>
  <rv s="0">
    <fb>129916.11</fb>
    <v>0</v>
  </rv>
  <rv s="0">
    <fb>130031.58</fb>
    <v>0</v>
  </rv>
  <rv s="0">
    <fb>130240.55</fb>
    <v>0</v>
  </rv>
  <rv s="0">
    <fb>129418.73</fb>
    <v>0</v>
  </rv>
  <rv s="0">
    <fb>129609.05</fb>
    <v>0</v>
  </rv>
  <rv s="0">
    <fb>131689.37</fb>
    <v>0</v>
  </rv>
  <rv s="0">
    <fb>130155.43</fb>
    <v>0</v>
  </rv>
  <rv s="0">
    <fb>129020.02</fb>
    <v>0</v>
  </rv>
  <rv s="0">
    <fb>129180.37</fb>
    <v>0</v>
  </rv>
  <rv s="0">
    <fb>128340.54</fb>
    <v>0</v>
  </rv>
  <rv s="0">
    <fb>128098.11</fb>
    <v>0</v>
  </rv>
  <rv s="0">
    <fb>128890.23</fb>
    <v>0</v>
  </rv>
  <rv s="0">
    <fb>128339.76</fb>
    <v>0</v>
  </rv>
  <rv s="0">
    <fb>127070.79</fb>
    <v>0</v>
  </rv>
  <rv s="0">
    <fb>126123.56</fb>
    <v>0</v>
  </rv>
  <rv s="0">
    <fb>127667.84</fb>
    <v>0</v>
  </rv>
  <rv s="0">
    <fb>128006.05</fb>
    <v>0</v>
  </rv>
  <rv s="0">
    <fb>127689.97</fb>
    <v>0</v>
  </rv>
  <rv s="0">
    <fb>126741.81</fb>
    <v>0</v>
  </rv>
  <rv s="0">
    <fb>126954.18</fb>
    <v>0</v>
  </rv>
  <rv s="0">
    <fb>127528.85</fb>
    <v>0</v>
  </rv>
  <rv s="0">
    <fb>129124.83</fb>
    <v>0</v>
  </rv>
  <rv s="0">
    <fb>128158.57</fb>
    <v>0</v>
  </rv>
  <rv s="0">
    <fb>127027.1</fb>
    <v>0</v>
  </rv>
  <rv s="0">
    <fb>126931.47</fb>
    <v>0</v>
  </rv>
  <rv s="0">
    <fb>126863.02</fb>
    <v>0</v>
  </rv>
  <rv s="0">
    <fb>127690.62</fb>
    <v>0</v>
  </rv>
  <rv s="0">
    <fb>128106.1</fb>
    <v>0</v>
  </rv>
  <rv s="0">
    <fb>126990.45</fb>
    <v>0</v>
  </rv>
  <rv s="0">
    <fb>127548.52</fb>
    <v>0</v>
  </rv>
  <rv s="0">
    <fb>127318.39</fb>
    <v>0</v>
  </rv>
  <rv s="0">
    <fb>127427.53</fb>
    <v>0</v>
  </rv>
  <rv s="0">
    <fb>126795.41</fb>
    <v>0</v>
  </rv>
  <rv s="0">
    <fb>128857.16</fb>
    <v>0</v>
  </rv>
  <rv s="0">
    <fb>129890.37</fb>
    <v>0</v>
  </rv>
  <rv s="0">
    <fb>128053.74</fb>
    <v>0</v>
  </rv>
  <rv s="0">
    <fb>127396.35</fb>
    <v>0</v>
  </rv>
  <rv s="0">
    <fb>125946.09</fb>
    <v>0</v>
  </rv>
  <rv s="0">
    <fb>125333.89</fb>
    <v>0</v>
  </rv>
  <rv s="0">
    <fb>124388.62</fb>
    <v>0</v>
  </rv>
  <rv s="0">
    <fb>124171.15</fb>
    <v>0</v>
  </rv>
  <rv s="0">
    <fb>124196.18</fb>
    <v>0</v>
  </rv>
  <rv s="0">
    <fb>125124.3</fb>
    <v>0</v>
  </rv>
  <rv s="0">
    <fb>125573.16</fb>
    <v>0</v>
  </rv>
  <rv s="0">
    <fb>125148.07</fb>
    <v>0</v>
  </rv>
  <rv s="0">
    <fb>124740.69</fb>
    <v>0</v>
  </rv>
  <rv s="0">
    <fb>124645.58</fb>
    <v>0</v>
  </rv>
  <rv s="0">
    <fb>126526.27</fb>
    <v>0</v>
  </rv>
  <rv s="0">
    <fb>127351.79</fb>
    <v>0</v>
  </rv>
  <rv s="0">
    <fb>125924.19</fb>
    <v>0</v>
  </rv>
  <rv s="0">
    <fb>127122.25</fb>
    <v>0</v>
  </rv>
  <rv s="0">
    <fb>128508.67</fb>
    <v>0</v>
  </rv>
  <rv s="0">
    <fb>128465.69</fb>
    <v>0</v>
  </rv>
  <rv s="0">
    <fb>129210.48</fb>
    <v>0</v>
  </rv>
  <rv s="0">
    <fb>129480.89</fb>
    <v>0</v>
  </rv>
  <rv s="0">
    <fb>128188.34</fb>
    <v>0</v>
  </rv>
  <rv s="0">
    <fb>127599.57</fb>
    <v>0</v>
  </rv>
  <rv s="0">
    <fb>128154.79</fb>
    <v>0</v>
  </rv>
  <rv s="0">
    <fb>128515.49</fb>
    <v>0</v>
  </rv>
  <rv s="0">
    <fb>128027.59</fb>
    <v>0</v>
  </rv>
  <rv s="0">
    <fb>128283.62</fb>
    <v>0</v>
  </rv>
  <rv s="0">
    <fb>128150.71</fb>
    <v>0</v>
  </rv>
  <rv s="0">
    <fb>127750.92</fb>
    <v>0</v>
  </rv>
  <rv s="0">
    <fb>127411.55</fb>
    <v>0</v>
  </rv>
  <rv s="0">
    <fb>125650.03</fb>
    <v>0</v>
  </rv>
  <rv s="0">
    <fb>124729.4</fb>
    <v>0</v>
  </rv>
  <rv s="0">
    <fb>124305.57</fb>
    <v>0</v>
  </rv>
  <rv s="0">
    <fb>124495.67999999999</fb>
    <v>0</v>
  </rv>
  <rv s="0">
    <fb>123779.54</fb>
    <v>0</v>
  </rv>
  <rv s="0">
    <fb>122707.28</fb>
    <v>0</v>
  </rv>
  <rv s="0">
    <fb>122098.09</fb>
    <v>0</v>
  </rv>
  <rv s="0">
    <fb>122031.58</fb>
    <v>0</v>
  </rv>
  <rv s="0">
    <fb>121802.06</fb>
    <v>0</v>
  </rv>
  <rv s="0">
    <fb>121407.33</fb>
    <v>0</v>
  </rv>
  <rv s="0">
    <fb>122898.8</fb>
    <v>0</v>
  </rv>
  <rv s="0">
    <fb>120767.19</fb>
    <v>0</v>
  </rv>
  <rv s="0">
    <fb>120759.51</fb>
    <v>0</v>
  </rv>
  <rv s="0">
    <fb>121635.06</fb>
    <v>0</v>
  </rv>
  <rv s="0">
    <fb>119936.02</fb>
    <v>0</v>
  </rv>
  <rv s="0">
    <fb>119567.53</fb>
    <v>0</v>
  </rv>
  <rv s="0">
    <fb>119662.38</fb>
    <v>0</v>
  </rv>
  <rv s="0">
    <fb>119137.86</fb>
    <v>0</v>
  </rv>
  <rv s="0">
    <fb>119630.44</fb>
    <v>0</v>
  </rv>
  <rv s="0">
    <fb>120261.34</fb>
    <v>0</v>
  </rv>
  <rv s="0">
    <fb>120445.91</fb>
    <v>0</v>
  </rv>
  <rv s="0">
    <fb>121341.13</fb>
    <v>0</v>
  </rv>
  <rv s="0">
    <fb>122636.96</fb>
    <v>0</v>
  </rv>
  <rv s="0">
    <fb>122331.39</fb>
    <v>0</v>
  </rv>
  <rv s="0">
    <fb>122641.3</fb>
    <v>0</v>
  </rv>
  <rv s="0">
    <fb>124307.83</fb>
    <v>0</v>
  </rv>
  <rv s="0">
    <fb>123906.55</fb>
    <v>0</v>
  </rv>
  <rv s="0">
    <fb>124718.07</fb>
    <v>0</v>
  </rv>
  <rv s="0">
    <fb>124787.08</fb>
    <v>0</v>
  </rv>
  <rv s="0">
    <fb>125661.89</fb>
    <v>0</v>
  </rv>
  <rv s="0">
    <fb>126163.98</fb>
    <v>0</v>
  </rv>
  <rv s="0">
    <fb>126267.05</fb>
    <v>0</v>
  </rv>
  <rv s="0">
    <fb>126548.34</fb>
    <v>0</v>
  </rv>
  <rv s="0">
    <fb>127108.22</fb>
    <v>0</v>
  </rv>
  <rv s="0">
    <fb>127218.24000000001</fb>
    <v>0</v>
  </rv>
  <rv s="0">
    <fb>128293.61</fb>
    <v>0</v>
  </rv>
  <rv s="0">
    <fb>128896.98</fb>
    <v>0</v>
  </rv>
  <rv s="0">
    <fb>129320.96000000001</fb>
    <v>0</v>
  </rv>
  <rv s="0">
    <fb>129110.38</fb>
    <v>0</v>
  </rv>
  <rv s="0">
    <fb>129450.32</fb>
    <v>0</v>
  </rv>
  <rv s="0">
    <fb>127652.06</fb>
    <v>0</v>
  </rv>
  <rv s="0">
    <fb>127616.46</fb>
    <v>0</v>
  </rv>
  <rv s="0">
    <fb>127859.63</fb>
    <v>0</v>
  </rv>
  <rv s="0">
    <fb>126589.84</fb>
    <v>0</v>
  </rv>
  <rv s="0">
    <fb>126422.73</fb>
    <v>0</v>
  </rv>
  <rv s="0">
    <fb>125954.09</fb>
    <v>0</v>
  </rv>
  <rv s="0">
    <fb>127492.49</fb>
    <v>0</v>
  </rv>
  <rv s="0">
    <fb>126953.86</fb>
    <v>0</v>
  </rv>
  <rv s="0">
    <fb>126139.21</fb>
    <v>0</v>
  </rv>
  <rv s="0">
    <fb>127651.81</fb>
    <v>0</v>
  </rv>
  <rv s="0">
    <fb>127395.1</fb>
    <v>0</v>
  </rv>
  <rv s="0">
    <fb>125854.09</fb>
    <v>0</v>
  </rv>
  <rv s="0">
    <fb>125269.54</fb>
    <v>0</v>
  </rv>
  <rv s="0">
    <fb>126266.7</fb>
    <v>0</v>
  </rv>
  <rv s="0">
    <fb>127513.88</fb>
    <v>0</v>
  </rv>
  <rv s="0">
    <fb>128660.88</fb>
    <v>0</v>
  </rv>
  <rv s="0">
    <fb>130614.59</fb>
    <v>0</v>
  </rv>
  <rv s="0">
    <fb>131115.9</fb>
    <v>0</v>
  </rv>
  <rv s="0">
    <fb>132397.97</fb>
    <v>0</v>
  </rv>
  <rv s="0">
    <fb>133317.66</fb>
    <v>0</v>
  </rv>
  <rv s="0">
    <fb>134153.42000000001</fb>
    <v>0</v>
  </rv>
  <rv s="0">
    <fb>133953.25</fb>
    <v>0</v>
  </rv>
  <rv s="0">
    <fb>135777.98000000001</fb>
    <v>0</v>
  </rv>
  <rv s="0">
    <fb>136087.41</fb>
    <v>0</v>
  </rv>
  <rv s="0">
    <fb>136463.65</fb>
    <v>0</v>
  </rv>
  <rv s="0">
    <fb>135173.39000000001</fb>
    <v>0</v>
  </rv>
  <rv s="0">
    <fb>135608.47</fb>
    <v>0</v>
  </rv>
  <rv s="0">
    <fb>136888.71</fb>
    <v>0</v>
  </rv>
  <rv s="0">
    <fb>136775.91</fb>
    <v>0</v>
  </rv>
  <rv s="0">
    <fb>137343.96</fb>
    <v>0</v>
  </rv>
  <rv s="0">
    <fb>136041.35</fb>
    <v>0</v>
  </rv>
  <rv s="0">
    <fb>136004.01</fb>
    <v>0</v>
  </rv>
  <rv s="0">
    <fb>134906.07</fb>
    <v>0</v>
  </rv>
  <rv s="0">
    <fb>134353.48000000001</fb>
    <v>0</v>
  </rv>
  <rv s="0">
    <fb>136110.73000000001</fb>
    <v>0</v>
  </rv>
  <rv s="0">
    <fb>136502.49</fb>
    <v>0</v>
  </rv>
  <rv s="0">
    <fb>134572.45000000001</fb>
    <v>0</v>
  </rv>
  <rv s="0">
    <fb>134737.21</fb>
    <v>0</v>
  </rv>
  <rv s="0">
    <fb>134319.57999999999</fb>
    <v>0</v>
  </rv>
  <rv s="0">
    <fb>134676.75</fb>
    <v>0</v>
  </rv>
  <rv s="0">
    <fb>134029.43</fb>
    <v>0</v>
  </rv>
  <rv s="0">
    <fb>134881.95000000001</fb>
    <v>0</v>
  </rv>
  <rv s="0">
    <fb>135118.22</fb>
    <v>0</v>
  </rv>
  <rv s="0">
    <fb>134960.19</fb>
    <v>0</v>
  </rv>
  <rv s="0">
    <fb>133747.69</fb>
    <v>0</v>
  </rv>
  <rv s="0">
    <fb>133122.67000000001</fb>
    <v>0</v>
  </rv>
  <rv s="0">
    <fb>131065.44</fb>
    <v>0</v>
  </rv>
  <rv s="0">
    <fb>130568.37</fb>
    <v>0</v>
  </rv>
  <rv s="0">
    <fb>132155.76</fb>
    <v>0</v>
  </rv>
  <rv s="0">
    <fb>131586.45000000001</fb>
    <v>0</v>
  </rv>
  <rv s="0">
    <fb>133009.78</fb>
    <v>0</v>
  </rv>
  <rv s="0">
    <fb>132730.35999999999</fb>
    <v>0</v>
  </rv>
  <rv s="0">
    <fb>131816.44</fb>
    <v>0</v>
  </rv>
  <rv s="0">
    <fb>132495.16</fb>
    <v>0</v>
  </rv>
  <rv s="0">
    <fb>133514.94</fb>
    <v>0</v>
  </rv>
  <rv s="0">
    <fb>131671.51</fb>
    <v>0</v>
  </rv>
  <rv s="0">
    <fb>131791.54999999999</fb>
    <v>0</v>
  </rv>
  <rv s="0">
    <fb>132017.84</fb>
    <v>0</v>
  </rv>
  <rv s="0">
    <fb>131511.73000000001</fb>
    <v>0</v>
  </rv>
  <rv s="0">
    <fb>129962.06</fb>
    <v>0</v>
  </rv>
  <rv s="0">
    <fb>130352.86</fb>
    <v>0</v>
  </rv>
  <rv s="0">
    <fb>129992.29</fb>
    <v>0</v>
  </rv>
  <rv s="0">
    <fb>131005.25</fb>
    <v>0</v>
  </rv>
  <rv s="0">
    <fb>131043.27</fb>
    <v>0</v>
  </rv>
  <rv s="0">
    <fb>131749.72</fb>
    <v>0</v>
  </rv>
  <rv s="0">
    <fb>130793.41</fb>
    <v>0</v>
  </rv>
  <rv s="0">
    <fb>130499.26</fb>
    <v>0</v>
  </rv>
  <rv s="0">
    <fb>130361.56</fb>
    <v>0</v>
  </rv>
  <rv s="0">
    <fb>129951.37</fb>
    <v>0</v>
  </rv>
  <rv s="0">
    <fb>129233.11</fb>
    <v>0</v>
  </rv>
  <rv s="0">
    <fb>130066.95</fb>
    <v>0</v>
  </rv>
  <rv s="0">
    <fb>129893.32</fb>
    <v>0</v>
  </rv>
  <rv s="0">
    <fb>131212.57999999999</fb>
    <v>0</v>
  </rv>
  <rv s="0">
    <fb>130729.93</fb>
    <v>0</v>
  </rv>
  <rv s="0">
    <fb>130639.33</fb>
    <v>0</v>
  </rv>
  <rv s="0">
    <fb>129713.33</fb>
    <v>0</v>
  </rv>
  <rv s="0">
    <fb>128120.75</fb>
    <v>0</v>
  </rv>
  <rv s="0">
    <fb>130514.79</fb>
    <v>0</v>
  </rv>
  <rv s="0">
    <fb>130660.75</fb>
    <v>0</v>
  </rv>
  <rv s="0">
    <fb>130340.92</fb>
    <v>0</v>
  </rv>
  <rv s="0">
    <fb>129681.7</fb>
    <v>0</v>
  </rv>
  <rv s="0">
    <fb>127829.8</fb>
    <v>0</v>
  </rv>
  <rv s="0">
    <fb>127873.7</fb>
    <v>0</v>
  </rv>
  <rv s="0">
    <fb>127698.32</fb>
    <v>0</v>
  </rv>
  <rv s="0">
    <fb>127733.88</fb>
    <v>0</v>
  </rv>
  <rv s="0">
    <fb>127791.6</fb>
    <v>0</v>
  </rv>
  <rv s="0">
    <fb>127768.19</fb>
    <v>0</v>
  </rv>
  <rv s="0">
    <fb>128197.25</fb>
    <v>0</v>
  </rv>
  <rv s="0">
    <fb>126922.11</fb>
    <v>0</v>
  </rv>
  <rv s="0">
    <fb>129125.51</fb>
    <v>0</v>
  </rv>
  <rv s="0">
    <fb>129036.1</fb>
    <v>0</v>
  </rv>
  <rv s="0">
    <fb>129922.38</fb>
    <v>0</v>
  </rv>
  <rv s="0">
    <fb>127668.61</fb>
    <v>0</v>
  </rv>
  <rv s="0">
    <fb>124610.41</fb>
    <v>0</v>
  </rv>
  <rv s="0">
    <fb>125667.83</fb>
    <v>0</v>
  </rv>
  <rv s="0">
    <fb>125235.54</fb>
    <v>0</v>
  </rv>
  <rv s="0">
    <fb>126139.2</fb>
    <v>0</v>
  </rv>
  <rv s="0">
    <fb>126087.02</fb>
    <v>0</v>
  </rv>
  <rv s="0">
    <fb>127857.58</fb>
    <v>0</v>
  </rv>
  <rv s="0">
    <fb>139549.43</fb>
    <v>1</v>
  </rv>
  <rv s="0">
    <fb>139050.93</fb>
    <v>1</v>
  </rv>
  <rv s="0">
    <fb>140927.85999999999</fb>
    <v>1</v>
  </rv>
  <rv s="0">
    <fb>141263.56</fb>
    <v>1</v>
  </rv>
  <rv s="0">
    <fb>139489.70000000001</fb>
    <v>1</v>
  </rv>
  <rv s="0">
    <fb>139302.85</fb>
    <v>1</v>
  </rv>
  <rv s="0">
    <fb>137480.79</fb>
    <v>1</v>
  </rv>
  <rv s="0">
    <fb>136743.26</fb>
    <v>1</v>
  </rv>
  <rv s="0">
    <fb>136187.31</fb>
    <v>1</v>
  </rv>
  <rv s="0">
    <fb>135298.99</fb>
    <v>1</v>
  </rv>
  <rv s="0">
    <fb>135250.1</fb>
    <v>1</v>
  </rv>
  <rv s="0">
    <fb>135510.99</fb>
    <v>1</v>
  </rv>
  <rv s="0">
    <fb>135564.74</fb>
    <v>1</v>
  </rv>
  <rv s="0">
    <fb>133381.57999999999</fb>
    <v>1</v>
  </rv>
  <rv s="0">
    <fb>134166.72</fb>
    <v>1</v>
  </rv>
  <rv s="0">
    <fb>134035.72</fb>
    <v>1</v>
  </rv>
  <rv s="0">
    <fb>135368.26999999999</fb>
    <v>1</v>
  </rv>
  <rv s="0">
    <fb>133807.59</fb>
    <v>1</v>
  </rv>
  <rv s="0">
    <fb>133524.18</fb>
    <v>1</v>
  </rv>
  <rv s="0">
    <fb>132129.26</fb>
    <v>1</v>
  </rv>
  <rv s="0">
    <fb>132725.68</fb>
    <v>1</v>
  </rv>
  <rv s="0">
    <fb>133989.74</fb>
    <v>1</v>
  </rv>
  <rv s="0">
    <fb>133071.04999999999</fb>
    <v>1</v>
  </rv>
  <rv s="0">
    <fb>132437.39000000001</fb>
    <v>1</v>
  </rv>
  <rv s="0">
    <fb>132971.20000000001</fb>
    <v>1</v>
  </rv>
  <rv s="0">
    <fb>133151.29999999999</fb>
    <v>1</v>
  </rv>
  <rv s="0">
    <fb>134537.62</fb>
    <v>1</v>
  </rv>
  <rv s="0">
    <fb>136527.60999999999</fb>
    <v>1</v>
  </rv>
  <rv s="0">
    <fb>135913.25</fb>
    <v>1</v>
  </rv>
  <rv s="0">
    <fb>135623.15</fb>
    <v>1</v>
  </rv>
  <rv s="0">
    <fb>137913.68</fb>
    <v>1</v>
  </rv>
  <rv s="0">
    <fb>136687.32</fb>
    <v>1</v>
  </rv>
  <rv s="0">
    <fb>136355.78</fb>
    <v>1</v>
  </rv>
  <rv s="0">
    <fb>136340.76999999999</fb>
    <v>1</v>
  </rv>
  <rv s="0">
    <fb>137321.64000000001</fb>
    <v>1</v>
  </rv>
  <rv s="0">
    <fb>134432.26</fb>
    <v>1</v>
  </rv>
  <rv s="0">
    <fb>134666.46</fb>
    <v>1</v>
  </rv>
  <rv s="0">
    <fb>134510.85</fb>
    <v>1</v>
  </rv>
  <rv s="0">
    <fb>137968.15</fb>
    <v>1</v>
  </rv>
  <rv s="0">
    <fb>138025.17000000001</fb>
    <v>1</v>
  </rv>
  <rv s="0">
    <fb>137771.39000000001</fb>
    <v>1</v>
  </rv>
  <rv s="0">
    <fb>139205.81</fb>
    <v>1</v>
  </rv>
  <rv s="0">
    <fb>141049.20000000001</fb>
    <v>1</v>
  </rv>
  <rv s="0">
    <fb>141422.26</fb>
    <v>1</v>
  </rv>
  <rv s="0">
    <fb>141283.01</fb>
    <v>1</v>
  </rv>
  <rv s="0">
    <fb>140335.16</fb>
    <v>1</v>
  </rv>
  <rv s="0">
    <fb>139863.63</fb>
    <v>1</v>
  </rv>
  <rv s="0">
    <fb>140993.25</fb>
    <v>1</v>
  </rv>
  <rv s="0">
    <fb>142640.14000000001</fb>
    <v>1</v>
  </rv>
  <rv s="0">
    <fb>141791.57999999999</fb>
    <v>1</v>
  </rv>
  <rv s="0">
    <fb>141618.29</fb>
    <v>1</v>
  </rv>
  <rv s="0">
    <fb>142348.70000000001</fb>
    <v>1</v>
  </rv>
  <rv s="0">
    <fb>143150.84</fb>
    <v>1</v>
  </rv>
  <rv s="0">
    <fb>142271.57999999999</fb>
    <v>1</v>
  </rv>
  <rv s="0">
    <fb>143546.57999999999</fb>
    <v>1</v>
  </rv>
  <rv s="0">
    <fb>144061.74</fb>
    <v>1</v>
  </rv>
  <rv s="0">
    <fb>145593.63</fb>
    <v>1</v>
  </rv>
  <rv s="0">
    <fb>145499.49</fb>
    <v>1</v>
  </rv>
  <rv s="0">
    <fb>145865.10999999999</fb>
    <v>1</v>
  </rv>
  <rv s="0">
    <fb>145109.25</fb>
    <v>1</v>
  </rv>
  <rv s="0">
    <fb>146424.94</fb>
    <v>1</v>
  </rv>
  <rv s="0">
    <fb>146491.75</fb>
    <v>1</v>
  </rv>
  <rv s="0">
    <fb>145306.23000000001</fb>
    <v>1</v>
  </rv>
  <rv s="0">
    <fb>145446.66</fb>
    <v>1</v>
  </rv>
  <rv s="0">
    <fb>146336.79999999999</fb>
    <v>1</v>
  </rv>
  <rv s="0">
    <fb>146237.01999999999</fb>
    <v>1</v>
  </rv>
  <rv s="0">
    <fb>145517.35</fb>
    <v>1</v>
  </rv>
  <rv s="0">
    <fb>143949.64000000001</fb>
    <v>1</v>
  </rv>
  <rv s="0">
    <fb>144200.65</fb>
    <v>1</v>
  </rv>
  <rv s="0">
    <fb>143608.07999999999</fb>
    <v>1</v>
  </rv>
  <rv s="0">
    <fb>141356.43</fb>
    <v>1</v>
  </rv>
  <rv s="0">
    <fb>142145.38</fb>
    <v>1</v>
  </rv>
  <rv s="0">
    <fb>141708.19</fb>
    <v>1</v>
  </rv>
  <rv s="0">
    <fb>140680.34</fb>
    <v>1</v>
  </rv>
  <rv s="0">
    <fb>141783.35999999999</fb>
    <v>1</v>
  </rv>
  <rv s="0">
    <fb>141682.99</fb>
    <v>1</v>
  </rv>
  <rv s="0">
    <fb>142603.66</fb>
    <v>1</v>
  </rv>
  <rv s="0">
    <fb>142200.01999999999</fb>
    <v>1</v>
  </rv>
  <rv s="0">
    <fb>143398.63</fb>
    <v>1</v>
  </rv>
  <rv s="0">
    <fb>144509.32</fb>
    <v>1</v>
  </rv>
  <rv s="0">
    <fb>144085.15</fb>
    <v>1</v>
  </rv>
  <rv s="0">
    <fb>144872.79</fb>
    <v>1</v>
  </rv>
  <rv s="0">
    <fb>145720.98000000001</fb>
    <v>1</v>
  </rv>
  <rv s="0">
    <fb>146172.21</fb>
    <v>1</v>
  </rv>
  <rv s="0">
    <fb>146969.1</fb>
    <v>1</v>
  </rv>
  <rv s="0">
    <fb>147428.9</fb>
    <v>1</v>
  </rv>
  <rv s="0">
    <fb>148632.93</fb>
    <v>1</v>
  </rv>
  <rv s="0">
    <fb>148780.22</fb>
    <v>1</v>
  </rv>
  <rv s="0">
    <fb>149540.43</fb>
    <v>1</v>
  </rv>
  <rv s="0">
    <fb>150454.24</fb>
    <v>1</v>
  </rv>
  <rv s="0">
    <fb>150704.20000000001</fb>
    <v>1</v>
  </rv>
  <rv s="0">
    <fb>153294.44</fb>
    <v>1</v>
  </rv>
  <rv s="0">
    <fb>153338.63</fb>
    <v>1</v>
  </rv>
  <rv s="0">
    <fb>154063.53</fb>
    <v>1</v>
  </rv>
  <rv s="0">
    <fb>155257.31</fb>
    <v>1</v>
  </rv>
  <rv s="0">
    <fb>157748.6</fb>
    <v>1</v>
  </rv>
  <rv s="0">
    <fb>157632.9</fb>
    <v>1</v>
  </rv>
  <rv s="0">
    <fb>157162.43</fb>
    <v>1</v>
  </rv>
  <rv s="0">
    <fb>157738.69</fb>
    <v>1</v>
  </rv>
  <rv s="0">
    <fb>156992.93</fb>
    <v>1</v>
  </rv>
  <rv s="0">
    <fb>156522.13</fb>
    <v>1</v>
  </rv>
  <rv s="0">
    <fb>155380.66</fb>
    <v>1</v>
  </rv>
  <rv s="0">
    <fb>154770.1</fb>
    <v>1</v>
  </rv>
  <rv s="0">
    <fb>155277.56</fb>
    <v>1</v>
  </rv>
  <rv s="0">
    <fb>155910.18</fb>
    <v>1</v>
  </rv>
  <rv s="0">
    <fb>158554.94</fb>
    <v>1</v>
  </rv>
  <rv s="0">
    <fb>158359.76</fb>
    <v>1</v>
  </rv>
  <rv s="0">
    <fb>159072.13</fb>
    <v>1</v>
  </rv>
  <rv s="0">
    <fb>158611.01</fb>
    <v>1</v>
  </rv>
  <rv s="0">
    <fb>161092.25</fb>
    <v>1</v>
  </rv>
  <rv s="0">
    <fb>161755.18</fb>
    <v>1</v>
  </rv>
  <rv s="0">
    <fb>164455.60999999999</fb>
    <v>1</v>
  </rv>
  <rv s="0">
    <fb>157369.35999999999</fb>
    <v>1</v>
  </rv>
  <rv s="0">
    <fb>158187.43</fb>
    <v>1</v>
  </rv>
  <rv s="0">
    <fb>157981.13</fb>
    <v>1</v>
  </rv>
  <rv s="0">
    <fb>159074.97</fb>
    <v>1</v>
  </rv>
  <rv s="0">
    <fb>159189.1</fb>
    <v>1</v>
  </rv>
  <rv s="0">
    <fb>160766.37</fb>
    <v>1</v>
  </rv>
  <rv s="0">
    <fb>162481.74</fb>
    <v>1</v>
  </rv>
  <rv s="0">
    <fb>158577.88</fb>
    <v>1</v>
  </rv>
  <rv s="0">
    <fb>157327.26</fb>
    <v>1</v>
  </rv>
  <rv s="0">
    <fb>157923.34</fb>
    <v>1</v>
  </rv>
  <rv s="0">
    <fb>158473.01999999999</fb>
    <v>1</v>
  </rv>
  <rv s="0">
    <fb>158141.65</fb>
    <v>1</v>
  </rv>
  <rv s="0">
    <fb>160455.82999999999</fb>
    <v>1</v>
  </rv>
  <rv s="0">
    <fb>160896.64000000001</fb>
    <v>1</v>
  </rv>
  <rv s="0">
    <fb>160490.29999999999</fb>
    <v>1</v>
  </rv>
  <rv s="0">
    <fb>161125.37</fb>
    <v>1</v>
  </rv>
  <rv s="0">
    <fb>160538.69</fb>
    <v>1</v>
  </rv>
  <rv s="0">
    <fb>161869.76000000001</fb>
    <v>1</v>
  </rv>
  <rv s="0">
    <fb>163663.88</fb>
    <v>1</v>
  </rv>
  <rv s="0">
    <fb>161975.24</fb>
    <v>1</v>
  </rv>
  <rv s="0">
    <fb>162936.48000000001</fb>
    <v>1</v>
  </rv>
  <rv s="0">
    <fb>163370.31</fb>
    <v>1</v>
  </rv>
  <rv s="0">
    <fb>163150.35</fb>
    <v>1</v>
  </rv>
  <rv s="0">
    <fb>161973.04999999999</fb>
    <v>1</v>
  </rv>
  <rv s="0">
    <fb>165145.98000000001</fb>
    <v>1</v>
  </rv>
  <rv s="0">
    <fb>165568.32000000001</fb>
    <v>1</v>
  </rv>
  <rv s="0">
    <fb>164799.98000000001</fb>
    <v>1</v>
  </rv>
  <rv s="0">
    <fb>164849.26999999999</fb>
    <v>1</v>
  </rv>
  <rv s="0">
    <fb>166276.9</fb>
    <v>1</v>
  </rv>
  <rv s="0">
    <fb>171816.67</fb>
    <v>1</v>
  </rv>
  <rv s="0">
    <fb>175589.35</fb>
    <v>1</v>
  </rv>
  <rv s="0">
    <fb>178858.54</fb>
    <v>1</v>
  </rv>
  <rv s="0">
    <fb>178720.68</fb>
    <v>1</v>
  </rv>
  <rv s="0">
    <fb>181919.13</fb>
    <v>1</v>
  </rv>
  <rv s="0">
    <fb>184691.05</fb>
    <v>1</v>
  </rv>
  <rv s="0">
    <fb>183133.75</fb>
    <v>1</v>
  </rv>
  <rv s="0">
    <fb>181363.9</fb>
    <v>1</v>
  </rv>
  <rv s="0">
    <fb>182793.4</fb>
    <v>1</v>
  </rv>
  <rv s="0">
    <fb>185674.43</fb>
    <v>1</v>
  </rv>
  <rv s="0">
    <fb>181708.23</fb>
    <v>1</v>
  </rv>
  <rv s="0">
    <fb>182127.25</fb>
    <v>1</v>
  </rv>
  <rv s="0">
    <fb>182949.78</fb>
    <v>1</v>
  </rv>
  <rv s="0">
    <fb>186241.15</fb>
    <v>1</v>
  </rv>
  <rv s="0">
    <fb>185929.33</fb>
    <v>1</v>
  </rv>
  <rv s="0">
    <fb>189699.12</fb>
    <v>1</v>
  </rv>
  <rv s="0">
    <fb>187766.42</fb>
    <v>1</v>
  </rv>
  <rv s="0">
    <fb>186464.3</fb>
    <v>1</v>
  </rv>
  <rv s="0">
    <fb>186016.31</fb>
    <v>1</v>
  </rv>
  <rv s="0">
    <fb>188534.42</fb>
    <v>1</v>
  </rv>
  <rv s="0">
    <fb>190534.42</fb>
    <v>1</v>
  </rv>
  <rv s="0">
    <fb>188853.49</fb>
    <v>1</v>
  </rv>
  <rv s="0">
    <fb>191490.4</fb>
    <v>1</v>
  </rv>
  <rv s="0">
    <fb>191247.46</fb>
    <v>1</v>
  </rv>
  <rv s="0">
    <fb>191005.02</fb>
    <v>1</v>
  </rv>
  <rv s="0">
    <fb>188786.98</fb>
    <v>1</v>
  </rv>
  <rv s="0">
    <fb>189307.02</fb>
    <v>1</v>
  </rv>
  <rv s="0">
    <fb>183104.87</fb>
    <v>1</v>
  </rv>
  <rv s="0">
    <fb>185366.44</fb>
    <v>1</v>
  </rv>
  <rv s="0">
    <fb>180463.84</fb>
    <v>1</v>
  </rv>
  <rv s="0">
    <fb>179364.82</fb>
    <v>1</v>
  </rv>
  <rv s="0">
    <fb>180915.36</fb>
    <v>1</v>
  </rv>
  <rv s="0">
    <fb>183447</fb>
    <v>1</v>
  </rv>
  <rv s="0">
    <fb>183969.35</fb>
    <v>1</v>
  </rv>
  <rv s="0">
    <fb>179284.49</fb>
    <v>1</v>
  </rv>
  <rv s="0">
    <fb>177653.31</fb>
    <v>1</v>
  </rv>
  <rv s="0">
    <fb>179875.44</fb>
    <v>1</v>
  </rv>
  <rv s="0">
    <fb>180409.73</fb>
    <v>1</v>
  </rv>
  <rv s="0">
    <fb>179639.91</fb>
    <v>1</v>
  </rv>
  <rv s="0">
    <fb>180270.62</fb>
    <v>1</v>
  </rv>
  <rv s="0">
    <fb>176219.4</fb>
    <v>1</v>
  </rv>
  <rv s="0">
    <fb>181931.93</fb>
    <v>1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_([$R$-pt-BR] * #,##0.00_);_([$R$-pt-BR] * (#,##0.00);_([$R$-pt-BR] * "-"??_);_(@_)</rpv>
    </rSty>
    <rSty dxfid="0">
      <rpv i="0">_-[$R$-pt-BR] * #,##0.00_-;-[$R$-pt-BR] * #,##0.00_-;_-[$R$-pt-BR] * "-"??_-;_-@_-</rpv>
    </rSty>
  </richStyles>
</richStyleShee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7BB3D-AA6F-4398-826D-91557AA445E2}">
  <dimension ref="A1:S537"/>
  <sheetViews>
    <sheetView showGridLines="0" zoomScale="115" zoomScaleNormal="115" workbookViewId="0">
      <pane ySplit="1" topLeftCell="A514" activePane="bottomLeft" state="frozen"/>
      <selection pane="bottomLeft" activeCell="A537" sqref="A537"/>
    </sheetView>
  </sheetViews>
  <sheetFormatPr defaultColWidth="8.88671875" defaultRowHeight="14.4" x14ac:dyDescent="0.3"/>
  <cols>
    <col min="1" max="1" width="10.44140625" style="47" bestFit="1" customWidth="1"/>
    <col min="2" max="2" width="21" style="64" bestFit="1" customWidth="1"/>
    <col min="3" max="3" width="12.33203125" style="59" bestFit="1" customWidth="1"/>
    <col min="4" max="4" width="10.6640625" style="70" bestFit="1" customWidth="1"/>
    <col min="5" max="6" width="10.6640625" style="49" bestFit="1" customWidth="1"/>
    <col min="7" max="7" width="13.33203125" style="49" bestFit="1" customWidth="1"/>
    <col min="8" max="8" width="11.44140625" style="49" bestFit="1" customWidth="1"/>
    <col min="9" max="9" width="8.109375" style="83" bestFit="1" customWidth="1"/>
    <col min="10" max="10" width="11.88671875" style="49" bestFit="1" customWidth="1"/>
    <col min="11" max="11" width="10.109375" style="49" bestFit="1" customWidth="1"/>
    <col min="12" max="12" width="16" style="64" bestFit="1" customWidth="1"/>
    <col min="13" max="13" width="14.33203125" style="64" bestFit="1" customWidth="1"/>
    <col min="14" max="14" width="13.88671875" bestFit="1" customWidth="1"/>
    <col min="15" max="15" width="13.88671875" customWidth="1"/>
    <col min="16" max="16" width="10.44140625" style="47" bestFit="1" customWidth="1"/>
    <col min="17" max="17" width="20.44140625" style="3" bestFit="1" customWidth="1"/>
    <col min="18" max="18" width="10.88671875" style="3" bestFit="1" customWidth="1"/>
    <col min="19" max="19" width="11" style="3" bestFit="1" customWidth="1"/>
    <col min="20" max="20" width="13.88671875" bestFit="1" customWidth="1"/>
  </cols>
  <sheetData>
    <row r="1" spans="1:15" x14ac:dyDescent="0.3">
      <c r="A1" s="61" t="s">
        <v>0</v>
      </c>
      <c r="B1" s="62" t="s">
        <v>2</v>
      </c>
      <c r="C1" s="58" t="s">
        <v>1</v>
      </c>
      <c r="D1" s="69" t="s">
        <v>3</v>
      </c>
      <c r="E1" s="71" t="s">
        <v>4</v>
      </c>
      <c r="F1" s="71" t="s">
        <v>5</v>
      </c>
      <c r="G1" s="71" t="s">
        <v>6</v>
      </c>
      <c r="H1" s="71" t="s">
        <v>7</v>
      </c>
      <c r="I1" s="72" t="s">
        <v>8</v>
      </c>
      <c r="J1" s="71" t="s">
        <v>9</v>
      </c>
      <c r="K1" s="71" t="s">
        <v>10</v>
      </c>
      <c r="L1" s="73" t="s">
        <v>11</v>
      </c>
      <c r="M1" s="74" t="s">
        <v>12</v>
      </c>
    </row>
    <row r="2" spans="1:15" x14ac:dyDescent="0.3">
      <c r="A2" s="57">
        <v>45327</v>
      </c>
      <c r="B2" s="63" vm="1">
        <v>127593.49</v>
      </c>
      <c r="C2" s="65">
        <v>308855.71000000002</v>
      </c>
      <c r="D2" s="67">
        <v>1.78608732</v>
      </c>
      <c r="E2" s="75">
        <v>-4.1999999999999998E-5</v>
      </c>
      <c r="F2" s="75">
        <v>0</v>
      </c>
      <c r="G2" s="75">
        <v>0</v>
      </c>
      <c r="H2" s="75">
        <v>0</v>
      </c>
      <c r="I2" s="76" t="str">
        <f t="shared" ref="I2:I42" si="0">TEXT(A2,"mmaaaa")</f>
        <v>022024</v>
      </c>
      <c r="J2" s="75">
        <v>0</v>
      </c>
      <c r="K2" s="75">
        <v>0</v>
      </c>
      <c r="L2" s="77">
        <v>100</v>
      </c>
      <c r="M2" s="78">
        <v>100</v>
      </c>
    </row>
    <row r="3" spans="1:15" x14ac:dyDescent="0.3">
      <c r="A3" s="57">
        <v>45328</v>
      </c>
      <c r="B3" s="63" vm="2">
        <v>130416.31</v>
      </c>
      <c r="C3" s="65">
        <v>315784.40999999997</v>
      </c>
      <c r="D3" s="67">
        <v>1.8261554200000001</v>
      </c>
      <c r="E3" s="75">
        <f>D3/D2-1</f>
        <v>2.243344967031069E-2</v>
      </c>
      <c r="F3" s="75">
        <f t="shared" ref="F3:F40" si="1">B3/B2-1</f>
        <v>2.2123542509888239E-2</v>
      </c>
      <c r="G3" s="75">
        <f>D3/$D$2-1</f>
        <v>2.243344967031069E-2</v>
      </c>
      <c r="H3" s="75">
        <f>B3/$B$2-1</f>
        <v>2.2123542509888239E-2</v>
      </c>
      <c r="I3" s="76" t="str">
        <f t="shared" si="0"/>
        <v>022024</v>
      </c>
      <c r="J3" s="75">
        <f>E3</f>
        <v>2.243344967031069E-2</v>
      </c>
      <c r="K3" s="75">
        <f>F3</f>
        <v>2.2123542509888239E-2</v>
      </c>
      <c r="L3" s="77">
        <f>L2*(1+E3)</f>
        <v>102.24334496703106</v>
      </c>
      <c r="M3" s="78">
        <f>M2*(1+F3)</f>
        <v>102.21235425098882</v>
      </c>
      <c r="O3" s="1"/>
    </row>
    <row r="4" spans="1:15" x14ac:dyDescent="0.3">
      <c r="A4" s="57">
        <v>45329</v>
      </c>
      <c r="B4" s="63" vm="3">
        <v>129949.9</v>
      </c>
      <c r="C4" s="65">
        <v>318045.64</v>
      </c>
      <c r="D4" s="67">
        <v>1.83923193</v>
      </c>
      <c r="E4" s="75">
        <f t="shared" ref="E4:E67" si="2">D4/D3-1</f>
        <v>7.1606774849426458E-3</v>
      </c>
      <c r="F4" s="75">
        <f t="shared" si="1"/>
        <v>-3.5763164898623412E-3</v>
      </c>
      <c r="G4" s="75">
        <f t="shared" ref="G4:G42" si="3">D4/$D$2-1</f>
        <v>2.9754765853217124E-2</v>
      </c>
      <c r="H4" s="75">
        <f t="shared" ref="H4:H42" si="4">B4/$B$2-1</f>
        <v>1.8468105230133425E-2</v>
      </c>
      <c r="I4" s="76" t="str">
        <f t="shared" si="0"/>
        <v>022024</v>
      </c>
      <c r="J4" s="75">
        <f>IF(I4=I3,(1+E4)*(1+J3)-1,E4)</f>
        <v>2.9754765853217124E-2</v>
      </c>
      <c r="K4" s="75">
        <f>IF(I4=I3,(1+F4)*(1+K3)-1,F4)</f>
        <v>1.8468105230133647E-2</v>
      </c>
      <c r="L4" s="77">
        <f t="shared" ref="L4:M19" si="5">L3*(1+E4)</f>
        <v>102.9754765853217</v>
      </c>
      <c r="M4" s="78">
        <f t="shared" si="5"/>
        <v>101.84681052301336</v>
      </c>
    </row>
    <row r="5" spans="1:15" x14ac:dyDescent="0.3">
      <c r="A5" s="57">
        <v>45330</v>
      </c>
      <c r="B5" s="63" vm="4">
        <v>128216.92</v>
      </c>
      <c r="C5" s="65">
        <v>312441.93</v>
      </c>
      <c r="D5" s="67">
        <v>1.8068261299999999</v>
      </c>
      <c r="E5" s="75">
        <f t="shared" si="2"/>
        <v>-1.7619202598336825E-2</v>
      </c>
      <c r="F5" s="75">
        <f t="shared" si="1"/>
        <v>-1.3335754779341902E-2</v>
      </c>
      <c r="G5" s="75">
        <f t="shared" si="3"/>
        <v>1.161130800704635E-2</v>
      </c>
      <c r="H5" s="75">
        <f t="shared" si="4"/>
        <v>4.8860643282035987E-3</v>
      </c>
      <c r="I5" s="76" t="str">
        <f t="shared" si="0"/>
        <v>022024</v>
      </c>
      <c r="J5" s="75">
        <f t="shared" ref="J5:J42" si="6">IF(I5=I4,(1+E5)*(1+J4)-1,E5)</f>
        <v>1.161130800704635E-2</v>
      </c>
      <c r="K5" s="75">
        <f t="shared" ref="K5:K42" si="7">IF(I5=I4,(1+F5)*(1+K4)-1,F5)</f>
        <v>4.8860643282035987E-3</v>
      </c>
      <c r="L5" s="77">
        <f t="shared" si="5"/>
        <v>101.16113080070463</v>
      </c>
      <c r="M5" s="78">
        <f t="shared" si="5"/>
        <v>100.48860643282036</v>
      </c>
    </row>
    <row r="6" spans="1:15" x14ac:dyDescent="0.3">
      <c r="A6" s="57">
        <v>45331</v>
      </c>
      <c r="B6" s="63" vm="5">
        <v>128025.7</v>
      </c>
      <c r="C6" s="65">
        <v>311124.34999999998</v>
      </c>
      <c r="D6" s="67">
        <v>1.7992066799999999</v>
      </c>
      <c r="E6" s="75">
        <f t="shared" si="2"/>
        <v>-4.2170355373375434E-3</v>
      </c>
      <c r="F6" s="75">
        <f t="shared" si="1"/>
        <v>-1.4913788289407925E-3</v>
      </c>
      <c r="G6" s="75">
        <f t="shared" si="3"/>
        <v>7.3453071712081819E-3</v>
      </c>
      <c r="H6" s="75">
        <f t="shared" si="4"/>
        <v>3.3873985263668249E-3</v>
      </c>
      <c r="I6" s="76" t="str">
        <f t="shared" si="0"/>
        <v>022024</v>
      </c>
      <c r="J6" s="75">
        <f t="shared" si="6"/>
        <v>7.3453071712081819E-3</v>
      </c>
      <c r="K6" s="75">
        <f t="shared" si="7"/>
        <v>3.3873985263668249E-3</v>
      </c>
      <c r="L6" s="77">
        <f t="shared" si="5"/>
        <v>100.7345307171208</v>
      </c>
      <c r="M6" s="78">
        <f t="shared" si="5"/>
        <v>100.33873985263669</v>
      </c>
    </row>
    <row r="7" spans="1:15" x14ac:dyDescent="0.3">
      <c r="A7" s="57">
        <v>45336</v>
      </c>
      <c r="B7" s="63" vm="6">
        <v>127018.29</v>
      </c>
      <c r="C7" s="65">
        <v>309971.43</v>
      </c>
      <c r="D7" s="67">
        <v>1.7925394400000001</v>
      </c>
      <c r="E7" s="75">
        <f t="shared" si="2"/>
        <v>-3.7056554280910925E-3</v>
      </c>
      <c r="F7" s="75">
        <f t="shared" si="1"/>
        <v>-7.8688107153486175E-3</v>
      </c>
      <c r="G7" s="75">
        <f t="shared" si="3"/>
        <v>3.612432565726964E-3</v>
      </c>
      <c r="H7" s="75">
        <f t="shared" si="4"/>
        <v>-4.508066986803283E-3</v>
      </c>
      <c r="I7" s="76" t="str">
        <f t="shared" si="0"/>
        <v>022024</v>
      </c>
      <c r="J7" s="75">
        <f t="shared" si="6"/>
        <v>3.6124325657271861E-3</v>
      </c>
      <c r="K7" s="75">
        <f t="shared" si="7"/>
        <v>-4.508066986803172E-3</v>
      </c>
      <c r="L7" s="77">
        <f t="shared" si="5"/>
        <v>100.36124325657269</v>
      </c>
      <c r="M7" s="78">
        <f t="shared" si="5"/>
        <v>99.54919330131969</v>
      </c>
    </row>
    <row r="8" spans="1:15" x14ac:dyDescent="0.3">
      <c r="A8" s="57">
        <v>45337</v>
      </c>
      <c r="B8" s="63" vm="7">
        <v>127804.13</v>
      </c>
      <c r="C8" s="65">
        <v>310775.21000000002</v>
      </c>
      <c r="D8" s="67">
        <v>1.79718763</v>
      </c>
      <c r="E8" s="75">
        <f t="shared" si="2"/>
        <v>2.5930754416203516E-3</v>
      </c>
      <c r="F8" s="75">
        <f t="shared" si="1"/>
        <v>6.1868255351258394E-3</v>
      </c>
      <c r="G8" s="75">
        <f t="shared" si="3"/>
        <v>6.214875317517965E-3</v>
      </c>
      <c r="H8" s="75">
        <f t="shared" si="4"/>
        <v>1.6508679243745217E-3</v>
      </c>
      <c r="I8" s="76" t="str">
        <f t="shared" si="0"/>
        <v>022024</v>
      </c>
      <c r="J8" s="75">
        <f t="shared" si="6"/>
        <v>6.214875317518187E-3</v>
      </c>
      <c r="K8" s="75">
        <f t="shared" si="7"/>
        <v>1.6508679243747437E-3</v>
      </c>
      <c r="L8" s="77">
        <f t="shared" si="5"/>
        <v>100.6214875317518</v>
      </c>
      <c r="M8" s="78">
        <f t="shared" si="5"/>
        <v>100.16508679243748</v>
      </c>
    </row>
    <row r="9" spans="1:15" x14ac:dyDescent="0.3">
      <c r="A9" s="57">
        <v>45338</v>
      </c>
      <c r="B9" s="63" vm="8">
        <v>128725.88</v>
      </c>
      <c r="C9" s="65">
        <v>311510.75</v>
      </c>
      <c r="D9" s="67">
        <v>1.8014412</v>
      </c>
      <c r="E9" s="75">
        <f t="shared" si="2"/>
        <v>2.3667923866135254E-3</v>
      </c>
      <c r="F9" s="75">
        <f t="shared" si="1"/>
        <v>7.212208243974505E-3</v>
      </c>
      <c r="G9" s="75">
        <f t="shared" si="3"/>
        <v>8.5963770237167392E-3</v>
      </c>
      <c r="H9" s="75">
        <f t="shared" si="4"/>
        <v>8.8749825716030184E-3</v>
      </c>
      <c r="I9" s="76" t="str">
        <f t="shared" si="0"/>
        <v>022024</v>
      </c>
      <c r="J9" s="75">
        <f t="shared" si="6"/>
        <v>8.5963770237169612E-3</v>
      </c>
      <c r="K9" s="75">
        <f t="shared" si="7"/>
        <v>8.8749825716032404E-3</v>
      </c>
      <c r="L9" s="77">
        <f t="shared" si="5"/>
        <v>100.85963770237167</v>
      </c>
      <c r="M9" s="78">
        <f t="shared" si="5"/>
        <v>100.88749825716032</v>
      </c>
    </row>
    <row r="10" spans="1:15" x14ac:dyDescent="0.3">
      <c r="A10" s="57">
        <v>45341</v>
      </c>
      <c r="B10" s="63" vm="9">
        <v>129035.74</v>
      </c>
      <c r="C10" s="65">
        <v>314070.32</v>
      </c>
      <c r="D10" s="67">
        <v>1.81624298</v>
      </c>
      <c r="E10" s="75">
        <f t="shared" si="2"/>
        <v>8.2166323274941444E-3</v>
      </c>
      <c r="F10" s="75">
        <f t="shared" si="1"/>
        <v>2.4071305630226636E-3</v>
      </c>
      <c r="G10" s="75">
        <f t="shared" si="3"/>
        <v>1.688364262056341E-2</v>
      </c>
      <c r="H10" s="75">
        <f t="shared" si="4"/>
        <v>1.1303476376420152E-2</v>
      </c>
      <c r="I10" s="76" t="str">
        <f t="shared" si="0"/>
        <v>022024</v>
      </c>
      <c r="J10" s="75">
        <f t="shared" si="6"/>
        <v>1.688364262056341E-2</v>
      </c>
      <c r="K10" s="75">
        <f t="shared" si="7"/>
        <v>1.1303476376420374E-2</v>
      </c>
      <c r="L10" s="77">
        <f t="shared" si="5"/>
        <v>101.68836426205633</v>
      </c>
      <c r="M10" s="78">
        <f t="shared" si="5"/>
        <v>101.13034763764202</v>
      </c>
    </row>
    <row r="11" spans="1:15" x14ac:dyDescent="0.3">
      <c r="A11" s="57">
        <v>45342</v>
      </c>
      <c r="B11" s="63" vm="10">
        <v>129916.11</v>
      </c>
      <c r="C11" s="65">
        <v>316657.11</v>
      </c>
      <c r="D11" s="67">
        <v>1.83120218</v>
      </c>
      <c r="E11" s="75">
        <f t="shared" si="2"/>
        <v>8.2363429148670786E-3</v>
      </c>
      <c r="F11" s="75">
        <f t="shared" si="1"/>
        <v>6.822683389888784E-3</v>
      </c>
      <c r="G11" s="75">
        <f t="shared" si="3"/>
        <v>2.5259045005705527E-2</v>
      </c>
      <c r="H11" s="75">
        <f t="shared" si="4"/>
        <v>1.8203279806830341E-2</v>
      </c>
      <c r="I11" s="76" t="str">
        <f t="shared" si="0"/>
        <v>022024</v>
      </c>
      <c r="J11" s="75">
        <f t="shared" si="6"/>
        <v>2.5259045005705527E-2</v>
      </c>
      <c r="K11" s="75">
        <f t="shared" si="7"/>
        <v>1.8203279806830563E-2</v>
      </c>
      <c r="L11" s="77">
        <f t="shared" si="5"/>
        <v>102.52590450057053</v>
      </c>
      <c r="M11" s="78">
        <f t="shared" si="5"/>
        <v>101.82032798068303</v>
      </c>
      <c r="N11" s="3"/>
    </row>
    <row r="12" spans="1:15" x14ac:dyDescent="0.3">
      <c r="A12" s="57">
        <v>45343</v>
      </c>
      <c r="B12" s="63" vm="11">
        <v>130031.58</v>
      </c>
      <c r="C12" s="65">
        <v>316906.17</v>
      </c>
      <c r="D12" s="67">
        <v>1.8326424699999999</v>
      </c>
      <c r="E12" s="75">
        <f t="shared" si="2"/>
        <v>7.8652702346593273E-4</v>
      </c>
      <c r="F12" s="75">
        <f t="shared" si="1"/>
        <v>8.8880432149629485E-4</v>
      </c>
      <c r="G12" s="75">
        <f t="shared" si="3"/>
        <v>2.6065438950655384E-2</v>
      </c>
      <c r="H12" s="75">
        <f t="shared" si="4"/>
        <v>1.9108263282084259E-2</v>
      </c>
      <c r="I12" s="76" t="str">
        <f t="shared" si="0"/>
        <v>022024</v>
      </c>
      <c r="J12" s="75">
        <f t="shared" si="6"/>
        <v>2.6065438950655384E-2</v>
      </c>
      <c r="K12" s="75">
        <f t="shared" si="7"/>
        <v>1.9108263282084481E-2</v>
      </c>
      <c r="L12" s="77">
        <f t="shared" si="5"/>
        <v>102.60654389506551</v>
      </c>
      <c r="M12" s="78">
        <f t="shared" si="5"/>
        <v>101.91082632820843</v>
      </c>
    </row>
    <row r="13" spans="1:15" x14ac:dyDescent="0.3">
      <c r="A13" s="57">
        <v>45344</v>
      </c>
      <c r="B13" s="63" vm="12">
        <v>130240.55</v>
      </c>
      <c r="C13" s="65">
        <v>316595.78000000003</v>
      </c>
      <c r="D13" s="67">
        <v>1.8308475099999999</v>
      </c>
      <c r="E13" s="75">
        <f t="shared" si="2"/>
        <v>-9.794381770493743E-4</v>
      </c>
      <c r="F13" s="75">
        <f t="shared" si="1"/>
        <v>1.6070711437945473E-3</v>
      </c>
      <c r="G13" s="75">
        <f t="shared" si="3"/>
        <v>2.5060471287596364E-2</v>
      </c>
      <c r="H13" s="75">
        <f t="shared" si="4"/>
        <v>2.0746042764407502E-2</v>
      </c>
      <c r="I13" s="76" t="str">
        <f t="shared" si="0"/>
        <v>022024</v>
      </c>
      <c r="J13" s="75">
        <f t="shared" si="6"/>
        <v>2.5060471287596142E-2</v>
      </c>
      <c r="K13" s="75">
        <f t="shared" si="7"/>
        <v>2.0746042764407724E-2</v>
      </c>
      <c r="L13" s="77">
        <f t="shared" si="5"/>
        <v>102.50604712875959</v>
      </c>
      <c r="M13" s="78">
        <f t="shared" si="5"/>
        <v>102.07460427644075</v>
      </c>
    </row>
    <row r="14" spans="1:15" x14ac:dyDescent="0.3">
      <c r="A14" s="57">
        <v>45345</v>
      </c>
      <c r="B14" s="63" vm="13">
        <v>129418.73</v>
      </c>
      <c r="C14" s="65">
        <v>313052.96000000002</v>
      </c>
      <c r="D14" s="67">
        <v>1.81035967</v>
      </c>
      <c r="E14" s="75">
        <f t="shared" si="2"/>
        <v>-1.1190358502330966E-2</v>
      </c>
      <c r="F14" s="75">
        <f t="shared" si="1"/>
        <v>-6.3100163505145357E-3</v>
      </c>
      <c r="G14" s="75">
        <f t="shared" si="3"/>
        <v>1.3589677127319844E-2</v>
      </c>
      <c r="H14" s="75">
        <f t="shared" si="4"/>
        <v>1.4305118544841067E-2</v>
      </c>
      <c r="I14" s="76" t="str">
        <f t="shared" si="0"/>
        <v>022024</v>
      </c>
      <c r="J14" s="75">
        <f t="shared" si="6"/>
        <v>1.3589677127319622E-2</v>
      </c>
      <c r="K14" s="75">
        <f t="shared" si="7"/>
        <v>1.4305118544841289E-2</v>
      </c>
      <c r="L14" s="77">
        <f t="shared" si="5"/>
        <v>101.35896771273194</v>
      </c>
      <c r="M14" s="78">
        <f t="shared" si="5"/>
        <v>101.43051185448411</v>
      </c>
    </row>
    <row r="15" spans="1:15" x14ac:dyDescent="0.3">
      <c r="A15" s="57">
        <v>45348</v>
      </c>
      <c r="B15" s="63" vm="14">
        <v>129609.05</v>
      </c>
      <c r="C15" s="65">
        <v>312493.55</v>
      </c>
      <c r="D15" s="67">
        <v>1.80712465</v>
      </c>
      <c r="E15" s="75">
        <f t="shared" si="2"/>
        <v>-1.786948777974029E-3</v>
      </c>
      <c r="F15" s="75">
        <f t="shared" si="1"/>
        <v>1.4705753950761125E-3</v>
      </c>
      <c r="G15" s="75">
        <f t="shared" si="3"/>
        <v>1.177844429241004E-2</v>
      </c>
      <c r="H15" s="75">
        <f t="shared" si="4"/>
        <v>1.5796730695272876E-2</v>
      </c>
      <c r="I15" s="76" t="str">
        <f t="shared" si="0"/>
        <v>022024</v>
      </c>
      <c r="J15" s="75">
        <f t="shared" si="6"/>
        <v>1.1778444292409818E-2</v>
      </c>
      <c r="K15" s="75">
        <f t="shared" si="7"/>
        <v>1.5796730695273098E-2</v>
      </c>
      <c r="L15" s="77">
        <f t="shared" si="5"/>
        <v>101.17784442924096</v>
      </c>
      <c r="M15" s="78">
        <f t="shared" si="5"/>
        <v>101.57967306952729</v>
      </c>
    </row>
    <row r="16" spans="1:15" x14ac:dyDescent="0.3">
      <c r="A16" s="57">
        <v>45349</v>
      </c>
      <c r="B16" s="63" vm="15">
        <v>131689.37</v>
      </c>
      <c r="C16" s="65">
        <v>315916.05</v>
      </c>
      <c r="D16" s="67">
        <v>1.82691669</v>
      </c>
      <c r="E16" s="75">
        <f t="shared" si="2"/>
        <v>1.0952227340820242E-2</v>
      </c>
      <c r="F16" s="75">
        <f t="shared" si="1"/>
        <v>1.6050731025341047E-2</v>
      </c>
      <c r="G16" s="75">
        <f t="shared" si="3"/>
        <v>2.2859671832841766E-2</v>
      </c>
      <c r="H16" s="75">
        <f t="shared" si="4"/>
        <v>3.210101079608374E-2</v>
      </c>
      <c r="I16" s="76" t="str">
        <f t="shared" si="0"/>
        <v>022024</v>
      </c>
      <c r="J16" s="75">
        <f t="shared" si="6"/>
        <v>2.2859671832841766E-2</v>
      </c>
      <c r="K16" s="75">
        <f t="shared" si="7"/>
        <v>3.210101079608374E-2</v>
      </c>
      <c r="L16" s="77">
        <f t="shared" si="5"/>
        <v>102.28596718328416</v>
      </c>
      <c r="M16" s="78">
        <f t="shared" si="5"/>
        <v>103.21010107960835</v>
      </c>
    </row>
    <row r="17" spans="1:13" x14ac:dyDescent="0.3">
      <c r="A17" s="57">
        <v>45350</v>
      </c>
      <c r="B17" s="63" vm="16">
        <v>130155.43</v>
      </c>
      <c r="C17" s="65">
        <v>314475.37</v>
      </c>
      <c r="D17" s="67">
        <v>1.81858535</v>
      </c>
      <c r="E17" s="75">
        <f t="shared" si="2"/>
        <v>-4.5603283639605863E-3</v>
      </c>
      <c r="F17" s="75">
        <f t="shared" si="1"/>
        <v>-1.1648168717034668E-2</v>
      </c>
      <c r="G17" s="75">
        <f t="shared" si="3"/>
        <v>1.8195095859031118E-2</v>
      </c>
      <c r="H17" s="75">
        <f t="shared" si="4"/>
        <v>2.0078924089308892E-2</v>
      </c>
      <c r="I17" s="76" t="str">
        <f t="shared" si="0"/>
        <v>022024</v>
      </c>
      <c r="J17" s="75">
        <f t="shared" si="6"/>
        <v>1.8195095859031118E-2</v>
      </c>
      <c r="K17" s="75">
        <f t="shared" si="7"/>
        <v>2.0078924089308892E-2</v>
      </c>
      <c r="L17" s="77">
        <f t="shared" si="5"/>
        <v>101.81950958590309</v>
      </c>
      <c r="M17" s="78">
        <f t="shared" si="5"/>
        <v>102.00789240893087</v>
      </c>
    </row>
    <row r="18" spans="1:13" x14ac:dyDescent="0.3">
      <c r="A18" s="57">
        <v>45351</v>
      </c>
      <c r="B18" s="63" vm="17">
        <v>129020.02</v>
      </c>
      <c r="C18" s="65">
        <v>313301.83</v>
      </c>
      <c r="D18" s="67">
        <v>1.8117988700000001</v>
      </c>
      <c r="E18" s="75">
        <f t="shared" si="2"/>
        <v>-3.7317357692340236E-3</v>
      </c>
      <c r="F18" s="75">
        <f t="shared" si="1"/>
        <v>-8.7234931343239674E-3</v>
      </c>
      <c r="G18" s="75">
        <f t="shared" si="3"/>
        <v>1.43954607997554E-2</v>
      </c>
      <c r="H18" s="75">
        <f t="shared" si="4"/>
        <v>1.1180272598547036E-2</v>
      </c>
      <c r="I18" s="76" t="str">
        <f t="shared" si="0"/>
        <v>022024</v>
      </c>
      <c r="J18" s="75">
        <f t="shared" si="6"/>
        <v>1.43954607997554E-2</v>
      </c>
      <c r="K18" s="75">
        <f t="shared" si="7"/>
        <v>1.1180272598547258E-2</v>
      </c>
      <c r="L18" s="77">
        <f t="shared" si="5"/>
        <v>101.43954607997551</v>
      </c>
      <c r="M18" s="78">
        <f t="shared" si="5"/>
        <v>101.1180272598547</v>
      </c>
    </row>
    <row r="19" spans="1:13" x14ac:dyDescent="0.3">
      <c r="A19" s="57">
        <v>45352</v>
      </c>
      <c r="B19" s="63" vm="18">
        <v>129180.37</v>
      </c>
      <c r="C19" s="65">
        <v>311498.58</v>
      </c>
      <c r="D19" s="67">
        <v>1.80137082</v>
      </c>
      <c r="E19" s="75">
        <f t="shared" si="2"/>
        <v>-5.7556333501852519E-3</v>
      </c>
      <c r="F19" s="75">
        <f t="shared" si="1"/>
        <v>1.2428303762470616E-3</v>
      </c>
      <c r="G19" s="75">
        <f t="shared" si="3"/>
        <v>8.5569724552996274E-3</v>
      </c>
      <c r="H19" s="75">
        <f t="shared" si="4"/>
        <v>1.2436998157194346E-2</v>
      </c>
      <c r="I19" s="76" t="str">
        <f t="shared" si="0"/>
        <v>032024</v>
      </c>
      <c r="J19" s="75">
        <f t="shared" si="6"/>
        <v>-5.7556333501852519E-3</v>
      </c>
      <c r="K19" s="75">
        <f t="shared" si="7"/>
        <v>1.2428303762470616E-3</v>
      </c>
      <c r="L19" s="77">
        <f t="shared" si="5"/>
        <v>100.85569724552995</v>
      </c>
      <c r="M19" s="78">
        <f t="shared" si="5"/>
        <v>101.24369981571942</v>
      </c>
    </row>
    <row r="20" spans="1:13" x14ac:dyDescent="0.3">
      <c r="A20" s="57">
        <v>45355</v>
      </c>
      <c r="B20" s="63" vm="19">
        <v>128340.54</v>
      </c>
      <c r="C20" s="65">
        <v>310195.49</v>
      </c>
      <c r="D20" s="67">
        <v>1.79383516</v>
      </c>
      <c r="E20" s="75">
        <f t="shared" si="2"/>
        <v>-4.1832919220929909E-3</v>
      </c>
      <c r="F20" s="75">
        <f t="shared" si="1"/>
        <v>-6.501219960896587E-3</v>
      </c>
      <c r="G20" s="75">
        <f t="shared" si="3"/>
        <v>4.3378842194568001E-3</v>
      </c>
      <c r="H20" s="75">
        <f t="shared" si="4"/>
        <v>5.8549225356245849E-3</v>
      </c>
      <c r="I20" s="76" t="str">
        <f t="shared" si="0"/>
        <v>032024</v>
      </c>
      <c r="J20" s="75">
        <f t="shared" si="6"/>
        <v>-9.9148477777778465E-3</v>
      </c>
      <c r="K20" s="75">
        <f t="shared" si="7"/>
        <v>-5.2664694982995641E-3</v>
      </c>
      <c r="L20" s="77">
        <f t="shared" ref="L20:M35" si="8">L19*(1+E20)</f>
        <v>100.43378842194568</v>
      </c>
      <c r="M20" s="78">
        <f t="shared" si="8"/>
        <v>100.58549225356245</v>
      </c>
    </row>
    <row r="21" spans="1:13" x14ac:dyDescent="0.3">
      <c r="A21" s="57">
        <v>45356</v>
      </c>
      <c r="B21" s="63" vm="20">
        <v>128098.11</v>
      </c>
      <c r="C21" s="65">
        <v>309524.38</v>
      </c>
      <c r="D21" s="67">
        <v>1.7899541800000001</v>
      </c>
      <c r="E21" s="75">
        <f t="shared" si="2"/>
        <v>-2.1635098288518284E-3</v>
      </c>
      <c r="F21" s="75">
        <f t="shared" si="1"/>
        <v>-1.8889588589855455E-3</v>
      </c>
      <c r="G21" s="75">
        <f t="shared" si="3"/>
        <v>2.1649893354598326E-3</v>
      </c>
      <c r="H21" s="75">
        <f t="shared" si="4"/>
        <v>3.9549039688466792E-3</v>
      </c>
      <c r="I21" s="76" t="str">
        <f t="shared" si="0"/>
        <v>032024</v>
      </c>
      <c r="J21" s="75">
        <f t="shared" si="6"/>
        <v>-1.2056906736010897E-2</v>
      </c>
      <c r="K21" s="75">
        <f t="shared" si="7"/>
        <v>-7.1454802130707096E-3</v>
      </c>
      <c r="L21" s="77">
        <f t="shared" si="8"/>
        <v>100.21649893354598</v>
      </c>
      <c r="M21" s="78">
        <f t="shared" si="8"/>
        <v>100.39549039688467</v>
      </c>
    </row>
    <row r="22" spans="1:13" x14ac:dyDescent="0.3">
      <c r="A22" s="57">
        <v>45357</v>
      </c>
      <c r="B22" s="63" vm="21">
        <v>128890.23</v>
      </c>
      <c r="C22" s="65">
        <v>310557.05</v>
      </c>
      <c r="D22" s="67">
        <v>1.79592603</v>
      </c>
      <c r="E22" s="75">
        <f t="shared" si="2"/>
        <v>3.3363144524738431E-3</v>
      </c>
      <c r="F22" s="75">
        <f t="shared" si="1"/>
        <v>6.1836977922624659E-3</v>
      </c>
      <c r="G22" s="75">
        <f t="shared" si="3"/>
        <v>5.5085268731429604E-3</v>
      </c>
      <c r="H22" s="75">
        <f t="shared" si="4"/>
        <v>1.0163057692049948E-2</v>
      </c>
      <c r="I22" s="76" t="str">
        <f t="shared" si="0"/>
        <v>032024</v>
      </c>
      <c r="J22" s="75">
        <f t="shared" si="6"/>
        <v>-8.7608179157325772E-3</v>
      </c>
      <c r="K22" s="75">
        <f t="shared" si="7"/>
        <v>-1.005967911026473E-3</v>
      </c>
      <c r="L22" s="77">
        <f t="shared" si="8"/>
        <v>100.55085268731429</v>
      </c>
      <c r="M22" s="78">
        <f t="shared" si="8"/>
        <v>101.01630576920499</v>
      </c>
    </row>
    <row r="23" spans="1:13" x14ac:dyDescent="0.3">
      <c r="A23" s="57">
        <v>45358</v>
      </c>
      <c r="B23" s="63" vm="22">
        <v>128339.76</v>
      </c>
      <c r="C23" s="65">
        <v>310147.34000000003</v>
      </c>
      <c r="D23" s="67">
        <v>1.7935567100000001</v>
      </c>
      <c r="E23" s="75">
        <f t="shared" si="2"/>
        <v>-1.3192748255894671E-3</v>
      </c>
      <c r="F23" s="75">
        <f t="shared" si="1"/>
        <v>-4.2708434921715499E-3</v>
      </c>
      <c r="G23" s="75">
        <f t="shared" si="3"/>
        <v>4.1819847867237137E-3</v>
      </c>
      <c r="H23" s="75">
        <f t="shared" si="4"/>
        <v>5.8488093710735711E-3</v>
      </c>
      <c r="I23" s="76" t="str">
        <f t="shared" si="0"/>
        <v>032024</v>
      </c>
      <c r="J23" s="75">
        <f t="shared" si="6"/>
        <v>-1.0068534814794194E-2</v>
      </c>
      <c r="K23" s="75">
        <f t="shared" si="7"/>
        <v>-5.2725150716919078E-3</v>
      </c>
      <c r="L23" s="77">
        <f t="shared" si="8"/>
        <v>100.41819847867237</v>
      </c>
      <c r="M23" s="78">
        <f t="shared" si="8"/>
        <v>100.58488093710737</v>
      </c>
    </row>
    <row r="24" spans="1:13" x14ac:dyDescent="0.3">
      <c r="A24" s="57">
        <v>45359</v>
      </c>
      <c r="B24" s="63" vm="23">
        <v>127070.79</v>
      </c>
      <c r="C24" s="65">
        <v>310654.28000000003</v>
      </c>
      <c r="D24" s="67">
        <v>1.7964883</v>
      </c>
      <c r="E24" s="75">
        <f t="shared" si="2"/>
        <v>1.6345120194163343E-3</v>
      </c>
      <c r="F24" s="75">
        <f t="shared" si="1"/>
        <v>-9.8875827724783649E-3</v>
      </c>
      <c r="G24" s="75">
        <f t="shared" si="3"/>
        <v>5.8233323105389978E-3</v>
      </c>
      <c r="H24" s="75">
        <f t="shared" si="4"/>
        <v>-4.0966039881815686E-3</v>
      </c>
      <c r="I24" s="76" t="str">
        <f t="shared" si="0"/>
        <v>032024</v>
      </c>
      <c r="J24" s="75">
        <f t="shared" si="6"/>
        <v>-8.4504799365505701E-3</v>
      </c>
      <c r="K24" s="75">
        <f t="shared" si="7"/>
        <v>-1.5107965414979829E-2</v>
      </c>
      <c r="L24" s="77">
        <f t="shared" si="8"/>
        <v>100.58233323105389</v>
      </c>
      <c r="M24" s="78">
        <f t="shared" si="8"/>
        <v>99.590339601181839</v>
      </c>
    </row>
    <row r="25" spans="1:13" x14ac:dyDescent="0.3">
      <c r="A25" s="57">
        <v>45362</v>
      </c>
      <c r="B25" s="63" vm="24">
        <v>126123.56</v>
      </c>
      <c r="C25" s="65">
        <v>309410.58</v>
      </c>
      <c r="D25" s="67">
        <v>1.7892960899999999</v>
      </c>
      <c r="E25" s="75">
        <f t="shared" si="2"/>
        <v>-4.003482794739166E-3</v>
      </c>
      <c r="F25" s="75">
        <f t="shared" si="1"/>
        <v>-7.4543488712078831E-3</v>
      </c>
      <c r="G25" s="75">
        <f t="shared" si="3"/>
        <v>1.7965359050866603E-3</v>
      </c>
      <c r="H25" s="75">
        <f t="shared" si="4"/>
        <v>-1.1520415344074442E-2</v>
      </c>
      <c r="I25" s="76" t="str">
        <f t="shared" si="0"/>
        <v>032024</v>
      </c>
      <c r="J25" s="75">
        <f t="shared" si="6"/>
        <v>-1.2420131380256438E-2</v>
      </c>
      <c r="K25" s="75">
        <f t="shared" si="7"/>
        <v>-2.2449694241250318E-2</v>
      </c>
      <c r="L25" s="77">
        <f t="shared" si="8"/>
        <v>100.17965359050865</v>
      </c>
      <c r="M25" s="78">
        <f t="shared" si="8"/>
        <v>98.847958465592555</v>
      </c>
    </row>
    <row r="26" spans="1:13" x14ac:dyDescent="0.3">
      <c r="A26" s="57">
        <v>45363</v>
      </c>
      <c r="B26" s="63" vm="25">
        <v>127667.84</v>
      </c>
      <c r="C26" s="65">
        <v>313660.14</v>
      </c>
      <c r="D26" s="67">
        <v>1.8138709399999999</v>
      </c>
      <c r="E26" s="75">
        <f t="shared" si="2"/>
        <v>1.3734367462905572E-2</v>
      </c>
      <c r="F26" s="75">
        <f t="shared" si="1"/>
        <v>1.2244183402371434E-2</v>
      </c>
      <c r="G26" s="75">
        <f t="shared" si="3"/>
        <v>1.5555577652272889E-2</v>
      </c>
      <c r="H26" s="75">
        <f t="shared" si="4"/>
        <v>5.8270997995268914E-4</v>
      </c>
      <c r="I26" s="76" t="str">
        <f t="shared" si="0"/>
        <v>032024</v>
      </c>
      <c r="J26" s="75">
        <f t="shared" si="6"/>
        <v>1.1436534343352012E-3</v>
      </c>
      <c r="K26" s="75">
        <f t="shared" si="7"/>
        <v>-1.0480389012495928E-2</v>
      </c>
      <c r="L26" s="77">
        <f t="shared" si="8"/>
        <v>101.55555776522728</v>
      </c>
      <c r="M26" s="78">
        <f t="shared" si="8"/>
        <v>100.05827099799527</v>
      </c>
    </row>
    <row r="27" spans="1:13" x14ac:dyDescent="0.3">
      <c r="A27" s="57">
        <v>45364</v>
      </c>
      <c r="B27" s="63" vm="26">
        <v>128006.05</v>
      </c>
      <c r="C27" s="65">
        <v>315137.75</v>
      </c>
      <c r="D27" s="67">
        <v>1.8224158399999999</v>
      </c>
      <c r="E27" s="75">
        <f t="shared" si="2"/>
        <v>4.7108643793587479E-3</v>
      </c>
      <c r="F27" s="75">
        <f t="shared" si="1"/>
        <v>2.6491401436727902E-3</v>
      </c>
      <c r="G27" s="75">
        <f t="shared" si="3"/>
        <v>2.0339722248293945E-2</v>
      </c>
      <c r="H27" s="75">
        <f t="shared" si="4"/>
        <v>3.2333938040256527E-3</v>
      </c>
      <c r="I27" s="76" t="str">
        <f t="shared" si="0"/>
        <v>032024</v>
      </c>
      <c r="J27" s="75">
        <f t="shared" si="6"/>
        <v>5.8599054099199854E-3</v>
      </c>
      <c r="K27" s="75">
        <f t="shared" si="7"/>
        <v>-7.8590128880774435E-3</v>
      </c>
      <c r="L27" s="77">
        <f t="shared" si="8"/>
        <v>102.0339722248294</v>
      </c>
      <c r="M27" s="78">
        <f t="shared" si="8"/>
        <v>100.32333938040254</v>
      </c>
    </row>
    <row r="28" spans="1:13" x14ac:dyDescent="0.3">
      <c r="A28" s="57">
        <v>45365</v>
      </c>
      <c r="B28" s="63" vm="27">
        <v>127689.97</v>
      </c>
      <c r="C28" s="65">
        <v>313657.65000000002</v>
      </c>
      <c r="D28" s="67">
        <v>1.81385654</v>
      </c>
      <c r="E28" s="75">
        <f t="shared" si="2"/>
        <v>-4.6966777900701029E-3</v>
      </c>
      <c r="F28" s="75">
        <f t="shared" si="1"/>
        <v>-2.469258288963716E-3</v>
      </c>
      <c r="G28" s="75">
        <f t="shared" si="3"/>
        <v>1.554751533648413E-2</v>
      </c>
      <c r="H28" s="75">
        <f t="shared" si="4"/>
        <v>7.5615143060980827E-4</v>
      </c>
      <c r="I28" s="76" t="str">
        <f t="shared" si="0"/>
        <v>032024</v>
      </c>
      <c r="J28" s="75">
        <f t="shared" si="6"/>
        <v>1.135705532259168E-3</v>
      </c>
      <c r="K28" s="75">
        <f t="shared" si="7"/>
        <v>-1.0308865244324172E-2</v>
      </c>
      <c r="L28" s="77">
        <f t="shared" si="8"/>
        <v>101.55475153364841</v>
      </c>
      <c r="M28" s="78">
        <f t="shared" si="8"/>
        <v>100.07561514306097</v>
      </c>
    </row>
    <row r="29" spans="1:13" x14ac:dyDescent="0.3">
      <c r="A29" s="57">
        <v>45366</v>
      </c>
      <c r="B29" s="63" vm="28">
        <v>126741.81</v>
      </c>
      <c r="C29" s="65">
        <v>310800.61</v>
      </c>
      <c r="D29" s="67">
        <v>1.7973345199999999</v>
      </c>
      <c r="E29" s="75">
        <f t="shared" si="2"/>
        <v>-9.1087799038396255E-3</v>
      </c>
      <c r="F29" s="75">
        <f t="shared" si="1"/>
        <v>-7.4254853376503061E-3</v>
      </c>
      <c r="G29" s="75">
        <f t="shared" si="3"/>
        <v>6.297116537393066E-3</v>
      </c>
      <c r="H29" s="75">
        <f t="shared" si="4"/>
        <v>-6.6749486984015727E-3</v>
      </c>
      <c r="I29" s="76" t="str">
        <f t="shared" si="0"/>
        <v>032024</v>
      </c>
      <c r="J29" s="75">
        <f t="shared" si="6"/>
        <v>-7.9834192633093659E-3</v>
      </c>
      <c r="K29" s="75">
        <f t="shared" si="7"/>
        <v>-1.7657802254254951E-2</v>
      </c>
      <c r="L29" s="77">
        <f t="shared" si="8"/>
        <v>100.62971165373929</v>
      </c>
      <c r="M29" s="78">
        <f t="shared" si="8"/>
        <v>99.332505130159831</v>
      </c>
    </row>
    <row r="30" spans="1:13" x14ac:dyDescent="0.3">
      <c r="A30" s="57">
        <v>45369</v>
      </c>
      <c r="B30" s="63" vm="29">
        <v>126954.18</v>
      </c>
      <c r="C30" s="65">
        <v>309243.21999999997</v>
      </c>
      <c r="D30" s="67">
        <v>1.7883282599999999</v>
      </c>
      <c r="E30" s="75">
        <f t="shared" si="2"/>
        <v>-5.0108980269293335E-3</v>
      </c>
      <c r="F30" s="75">
        <f t="shared" si="1"/>
        <v>1.6756112288438541E-3</v>
      </c>
      <c r="G30" s="75">
        <f t="shared" si="3"/>
        <v>1.2546643016311254E-3</v>
      </c>
      <c r="H30" s="75">
        <f t="shared" si="4"/>
        <v>-5.0105220885486856E-3</v>
      </c>
      <c r="I30" s="76" t="str">
        <f t="shared" si="0"/>
        <v>032024</v>
      </c>
      <c r="J30" s="75">
        <f t="shared" si="6"/>
        <v>-1.2954313190404076E-2</v>
      </c>
      <c r="K30" s="75">
        <f t="shared" si="7"/>
        <v>-1.601177863714498E-2</v>
      </c>
      <c r="L30" s="77">
        <f t="shared" si="8"/>
        <v>100.1254664301631</v>
      </c>
      <c r="M30" s="78">
        <f t="shared" si="8"/>
        <v>99.498947791145113</v>
      </c>
    </row>
    <row r="31" spans="1:13" x14ac:dyDescent="0.3">
      <c r="A31" s="57">
        <v>45370</v>
      </c>
      <c r="B31" s="63" vm="30">
        <v>127528.85</v>
      </c>
      <c r="C31" s="65">
        <v>310639.78999999998</v>
      </c>
      <c r="D31" s="67">
        <v>1.7964045099999999</v>
      </c>
      <c r="E31" s="75">
        <f t="shared" si="2"/>
        <v>4.5160892329689784E-3</v>
      </c>
      <c r="F31" s="75">
        <f t="shared" si="1"/>
        <v>4.526593767924858E-3</v>
      </c>
      <c r="G31" s="75">
        <f t="shared" si="3"/>
        <v>5.7764197105434345E-3</v>
      </c>
      <c r="H31" s="75">
        <f t="shared" si="4"/>
        <v>-5.0660891868381519E-4</v>
      </c>
      <c r="I31" s="76" t="str">
        <f t="shared" si="0"/>
        <v>032024</v>
      </c>
      <c r="J31" s="75">
        <f t="shared" si="6"/>
        <v>-8.4967267917548384E-3</v>
      </c>
      <c r="K31" s="75">
        <f t="shared" si="7"/>
        <v>-1.1557663686612374E-2</v>
      </c>
      <c r="L31" s="77">
        <f t="shared" si="8"/>
        <v>100.57764197105436</v>
      </c>
      <c r="M31" s="78">
        <f t="shared" si="8"/>
        <v>99.949339108131596</v>
      </c>
    </row>
    <row r="32" spans="1:13" x14ac:dyDescent="0.3">
      <c r="A32" s="57">
        <v>45371</v>
      </c>
      <c r="B32" s="63" vm="31">
        <v>129124.83</v>
      </c>
      <c r="C32" s="65">
        <v>313164.36</v>
      </c>
      <c r="D32" s="67">
        <v>1.8110038900000001</v>
      </c>
      <c r="E32" s="75">
        <f t="shared" si="2"/>
        <v>8.1270003046252093E-3</v>
      </c>
      <c r="F32" s="75">
        <f t="shared" si="1"/>
        <v>1.2514658447872806E-2</v>
      </c>
      <c r="G32" s="75">
        <f t="shared" si="3"/>
        <v>1.3950364979915975E-2</v>
      </c>
      <c r="H32" s="75">
        <f t="shared" si="4"/>
        <v>1.200170949160495E-2</v>
      </c>
      <c r="I32" s="76" t="str">
        <f t="shared" si="0"/>
        <v>032024</v>
      </c>
      <c r="J32" s="75">
        <f t="shared" si="6"/>
        <v>-4.3877938835457098E-4</v>
      </c>
      <c r="K32" s="75">
        <f t="shared" si="7"/>
        <v>8.1235454776718008E-4</v>
      </c>
      <c r="L32" s="77">
        <f t="shared" si="8"/>
        <v>101.39503649799161</v>
      </c>
      <c r="M32" s="78">
        <f t="shared" si="8"/>
        <v>101.20017094916048</v>
      </c>
    </row>
    <row r="33" spans="1:15" x14ac:dyDescent="0.3">
      <c r="A33" s="57">
        <v>45372</v>
      </c>
      <c r="B33" s="63" vm="32">
        <v>128158.57</v>
      </c>
      <c r="C33" s="65">
        <v>310475.03000000003</v>
      </c>
      <c r="D33" s="67">
        <v>1.79545171</v>
      </c>
      <c r="E33" s="75">
        <f t="shared" si="2"/>
        <v>-8.5876016533570354E-3</v>
      </c>
      <c r="F33" s="75">
        <f t="shared" si="1"/>
        <v>-7.4831463476079385E-3</v>
      </c>
      <c r="G33" s="75">
        <f t="shared" si="3"/>
        <v>5.2429631491925921E-3</v>
      </c>
      <c r="H33" s="75">
        <f t="shared" si="4"/>
        <v>4.4287525954498363E-3</v>
      </c>
      <c r="I33" s="76" t="str">
        <f t="shared" si="0"/>
        <v>032024</v>
      </c>
      <c r="J33" s="75">
        <f t="shared" si="6"/>
        <v>-9.0226129791106668E-3</v>
      </c>
      <c r="K33" s="75">
        <f t="shared" si="7"/>
        <v>-6.6768707678078743E-3</v>
      </c>
      <c r="L33" s="77">
        <f t="shared" si="8"/>
        <v>100.52429631491927</v>
      </c>
      <c r="M33" s="78">
        <f t="shared" si="8"/>
        <v>100.44287525954498</v>
      </c>
    </row>
    <row r="34" spans="1:15" x14ac:dyDescent="0.3">
      <c r="A34" s="57">
        <v>45373</v>
      </c>
      <c r="B34" s="63" vm="33">
        <v>127027.1</v>
      </c>
      <c r="C34" s="65">
        <v>307036.28999999998</v>
      </c>
      <c r="D34" s="67">
        <v>1.7755657600000001</v>
      </c>
      <c r="E34" s="75">
        <f t="shared" si="2"/>
        <v>-1.107573647859339E-2</v>
      </c>
      <c r="F34" s="75">
        <f t="shared" si="1"/>
        <v>-8.8286721676124058E-3</v>
      </c>
      <c r="G34" s="75">
        <f t="shared" si="3"/>
        <v>-5.8908430076083373E-3</v>
      </c>
      <c r="H34" s="75">
        <f t="shared" si="4"/>
        <v>-4.4390195769392626E-3</v>
      </c>
      <c r="I34" s="76" t="str">
        <f t="shared" si="0"/>
        <v>032024</v>
      </c>
      <c r="J34" s="75">
        <f t="shared" si="6"/>
        <v>-1.99984173739991E-2</v>
      </c>
      <c r="K34" s="75">
        <f t="shared" si="7"/>
        <v>-1.5446595032305832E-2</v>
      </c>
      <c r="L34" s="77">
        <f t="shared" si="8"/>
        <v>99.410915699239183</v>
      </c>
      <c r="M34" s="78">
        <f t="shared" si="8"/>
        <v>99.556098042306061</v>
      </c>
    </row>
    <row r="35" spans="1:15" x14ac:dyDescent="0.3">
      <c r="A35" s="57">
        <v>45376</v>
      </c>
      <c r="B35" s="63" vm="34">
        <v>126931.47</v>
      </c>
      <c r="C35" s="65">
        <v>307237.95</v>
      </c>
      <c r="D35" s="67">
        <v>1.7767319399999999</v>
      </c>
      <c r="E35" s="75">
        <f t="shared" si="2"/>
        <v>6.5679347184510739E-4</v>
      </c>
      <c r="F35" s="75">
        <f t="shared" si="1"/>
        <v>-7.5283148241600539E-4</v>
      </c>
      <c r="G35" s="75">
        <f t="shared" si="3"/>
        <v>-5.2379186029942737E-3</v>
      </c>
      <c r="H35" s="75">
        <f t="shared" si="4"/>
        <v>-5.1885092256666043E-3</v>
      </c>
      <c r="I35" s="76" t="str">
        <f t="shared" si="0"/>
        <v>032024</v>
      </c>
      <c r="J35" s="75">
        <f t="shared" si="6"/>
        <v>-1.9354758732132438E-2</v>
      </c>
      <c r="K35" s="75">
        <f t="shared" si="7"/>
        <v>-1.6187797831685335E-2</v>
      </c>
      <c r="L35" s="77">
        <f t="shared" si="8"/>
        <v>99.476208139700589</v>
      </c>
      <c r="M35" s="78">
        <f t="shared" si="8"/>
        <v>99.481149077433315</v>
      </c>
    </row>
    <row r="36" spans="1:15" x14ac:dyDescent="0.3">
      <c r="A36" s="57">
        <v>45377</v>
      </c>
      <c r="B36" s="63" vm="35">
        <v>126863.02</v>
      </c>
      <c r="C36" s="65">
        <v>307524.43</v>
      </c>
      <c r="D36" s="67">
        <v>1.77838863</v>
      </c>
      <c r="E36" s="75">
        <f t="shared" si="2"/>
        <v>9.324366623364444E-4</v>
      </c>
      <c r="F36" s="75">
        <f t="shared" si="1"/>
        <v>-5.3926737002252256E-4</v>
      </c>
      <c r="G36" s="75">
        <f t="shared" si="3"/>
        <v>-4.3103659679976092E-3</v>
      </c>
      <c r="H36" s="75">
        <f t="shared" si="4"/>
        <v>-5.7249786019647475E-3</v>
      </c>
      <c r="I36" s="76" t="str">
        <f t="shared" si="0"/>
        <v>032024</v>
      </c>
      <c r="J36" s="75">
        <f t="shared" si="6"/>
        <v>-1.8440369156428549E-2</v>
      </c>
      <c r="K36" s="75">
        <f t="shared" si="7"/>
        <v>-1.6718335650544702E-2</v>
      </c>
      <c r="L36" s="77">
        <f t="shared" ref="L36:M42" si="9">L35*(1+E36)</f>
        <v>99.568963403200257</v>
      </c>
      <c r="M36" s="78">
        <f t="shared" si="9"/>
        <v>99.427502139803508</v>
      </c>
    </row>
    <row r="37" spans="1:15" x14ac:dyDescent="0.3">
      <c r="A37" s="57">
        <v>45378</v>
      </c>
      <c r="B37" s="63" vm="36">
        <v>127690.62</v>
      </c>
      <c r="C37" s="65">
        <v>308700.3</v>
      </c>
      <c r="D37" s="67">
        <v>1.78518859</v>
      </c>
      <c r="E37" s="75">
        <f t="shared" si="2"/>
        <v>3.823663672433586E-3</v>
      </c>
      <c r="F37" s="75">
        <f t="shared" si="1"/>
        <v>6.5235716444398406E-3</v>
      </c>
      <c r="G37" s="75">
        <f t="shared" si="3"/>
        <v>-5.0318368533075475E-4</v>
      </c>
      <c r="H37" s="75">
        <f t="shared" si="4"/>
        <v>7.6124573440217169E-4</v>
      </c>
      <c r="I37" s="76" t="str">
        <f t="shared" si="0"/>
        <v>032024</v>
      </c>
      <c r="J37" s="75">
        <f t="shared" si="6"/>
        <v>-1.4687215253644692E-2</v>
      </c>
      <c r="K37" s="75">
        <f t="shared" si="7"/>
        <v>-1.0303827266497034E-2</v>
      </c>
      <c r="L37" s="77">
        <f t="shared" si="9"/>
        <v>99.949681631466945</v>
      </c>
      <c r="M37" s="78">
        <f t="shared" si="9"/>
        <v>100.07612457344021</v>
      </c>
    </row>
    <row r="38" spans="1:15" x14ac:dyDescent="0.3">
      <c r="A38" s="57">
        <v>45379</v>
      </c>
      <c r="B38" s="63" vm="37">
        <v>128106.1</v>
      </c>
      <c r="C38" s="65">
        <v>309615.82</v>
      </c>
      <c r="D38" s="67">
        <v>1.79048297</v>
      </c>
      <c r="E38" s="75">
        <f t="shared" si="2"/>
        <v>2.9657258788551299E-3</v>
      </c>
      <c r="F38" s="75">
        <f t="shared" si="1"/>
        <v>3.2538020412149482E-3</v>
      </c>
      <c r="G38" s="75">
        <f t="shared" si="3"/>
        <v>2.4610498886470378E-3</v>
      </c>
      <c r="H38" s="75">
        <f t="shared" si="4"/>
        <v>4.0175247185416652E-3</v>
      </c>
      <c r="I38" s="76" t="str">
        <f t="shared" si="0"/>
        <v>032024</v>
      </c>
      <c r="J38" s="75">
        <f t="shared" si="6"/>
        <v>-1.1765047629155645E-2</v>
      </c>
      <c r="K38" s="75">
        <f t="shared" si="7"/>
        <v>-7.0835518394741781E-3</v>
      </c>
      <c r="L38" s="77">
        <f t="shared" si="9"/>
        <v>100.24610498886472</v>
      </c>
      <c r="M38" s="78">
        <f t="shared" si="9"/>
        <v>100.40175247185415</v>
      </c>
    </row>
    <row r="39" spans="1:15" x14ac:dyDescent="0.3">
      <c r="A39" s="57">
        <v>45383</v>
      </c>
      <c r="B39" s="63" vm="38">
        <v>126990.45</v>
      </c>
      <c r="C39" s="65">
        <v>306484.27</v>
      </c>
      <c r="D39" s="67">
        <v>1.77237347</v>
      </c>
      <c r="E39" s="75">
        <f t="shared" si="2"/>
        <v>-1.0114310107065649E-2</v>
      </c>
      <c r="F39" s="75">
        <f t="shared" si="1"/>
        <v>-8.7087968488620549E-3</v>
      </c>
      <c r="G39" s="75">
        <f t="shared" si="3"/>
        <v>-7.6781520401812964E-3</v>
      </c>
      <c r="H39" s="75">
        <f t="shared" si="4"/>
        <v>-4.7262599369294334E-3</v>
      </c>
      <c r="I39" s="76" t="str">
        <f t="shared" si="0"/>
        <v>042024</v>
      </c>
      <c r="J39" s="75">
        <f t="shared" si="6"/>
        <v>-1.0114310107065649E-2</v>
      </c>
      <c r="K39" s="75">
        <f t="shared" si="7"/>
        <v>-8.7087968488620549E-3</v>
      </c>
      <c r="L39" s="77">
        <f t="shared" si="9"/>
        <v>99.23218479598188</v>
      </c>
      <c r="M39" s="78">
        <f t="shared" si="9"/>
        <v>99.527374006307042</v>
      </c>
    </row>
    <row r="40" spans="1:15" x14ac:dyDescent="0.3">
      <c r="A40" s="57">
        <v>45384</v>
      </c>
      <c r="B40" s="63" vm="39">
        <v>127548.52</v>
      </c>
      <c r="C40" s="65">
        <v>307977.13</v>
      </c>
      <c r="D40" s="67">
        <v>1.78100656</v>
      </c>
      <c r="E40" s="75">
        <f t="shared" si="2"/>
        <v>4.8709203484071928E-3</v>
      </c>
      <c r="F40" s="75">
        <f t="shared" si="1"/>
        <v>4.3945824272613176E-3</v>
      </c>
      <c r="G40" s="75">
        <f t="shared" si="3"/>
        <v>-2.8446313587848771E-3</v>
      </c>
      <c r="H40" s="75">
        <f t="shared" si="4"/>
        <v>-3.5244744853357712E-4</v>
      </c>
      <c r="I40" s="76" t="str">
        <f t="shared" si="0"/>
        <v>042024</v>
      </c>
      <c r="J40" s="75">
        <f t="shared" si="6"/>
        <v>-5.292655757569098E-3</v>
      </c>
      <c r="K40" s="75">
        <f t="shared" si="7"/>
        <v>-4.3524859471952837E-3</v>
      </c>
      <c r="L40" s="77">
        <f t="shared" si="9"/>
        <v>99.715536864121532</v>
      </c>
      <c r="M40" s="78">
        <f t="shared" si="9"/>
        <v>99.964755255146628</v>
      </c>
      <c r="N40" s="1"/>
      <c r="O40" s="1"/>
    </row>
    <row r="41" spans="1:15" x14ac:dyDescent="0.3">
      <c r="A41" s="57">
        <v>45385</v>
      </c>
      <c r="B41" s="63" vm="40">
        <v>127318.39</v>
      </c>
      <c r="C41" s="65">
        <v>307625.2</v>
      </c>
      <c r="D41" s="67">
        <v>1.77897138</v>
      </c>
      <c r="E41" s="75">
        <f t="shared" si="2"/>
        <v>-1.1427133654129396E-3</v>
      </c>
      <c r="F41" s="75">
        <f>B41/B40-1</f>
        <v>-1.8042545691632217E-3</v>
      </c>
      <c r="G41" s="75">
        <f t="shared" si="3"/>
        <v>-3.9840941259243756E-3</v>
      </c>
      <c r="H41" s="75">
        <f t="shared" si="4"/>
        <v>-2.1560661127774106E-3</v>
      </c>
      <c r="I41" s="76" t="str">
        <f t="shared" si="0"/>
        <v>042024</v>
      </c>
      <c r="J41" s="75">
        <f t="shared" si="6"/>
        <v>-6.429321134509336E-3</v>
      </c>
      <c r="K41" s="75">
        <f t="shared" si="7"/>
        <v>-6.1488875237010188E-3</v>
      </c>
      <c r="L41" s="77">
        <f t="shared" si="9"/>
        <v>99.601590587407571</v>
      </c>
      <c r="M41" s="78">
        <f t="shared" si="9"/>
        <v>99.784393388722251</v>
      </c>
    </row>
    <row r="42" spans="1:15" ht="15" thickBot="1" x14ac:dyDescent="0.35">
      <c r="A42" s="57">
        <v>45386</v>
      </c>
      <c r="B42" s="63" vm="41">
        <v>127427.53</v>
      </c>
      <c r="C42" s="65">
        <v>309521.90999999997</v>
      </c>
      <c r="D42" s="67">
        <v>1.7899399</v>
      </c>
      <c r="E42" s="79">
        <f t="shared" si="2"/>
        <v>6.1656528729541193E-3</v>
      </c>
      <c r="F42" s="79">
        <f>B42/B41-1</f>
        <v>8.5722101889595947E-4</v>
      </c>
      <c r="G42" s="79">
        <f t="shared" si="3"/>
        <v>2.1569942056360869E-3</v>
      </c>
      <c r="H42" s="79">
        <f t="shared" si="4"/>
        <v>-1.3006933190714554E-3</v>
      </c>
      <c r="I42" s="80" t="str">
        <f t="shared" si="0"/>
        <v>042024</v>
      </c>
      <c r="J42" s="79">
        <f t="shared" si="6"/>
        <v>-3.0330922387933335E-4</v>
      </c>
      <c r="K42" s="79">
        <f t="shared" si="7"/>
        <v>-5.2969374604332486E-3</v>
      </c>
      <c r="L42" s="81">
        <f t="shared" si="9"/>
        <v>100.21569942056362</v>
      </c>
      <c r="M42" s="82">
        <f t="shared" si="9"/>
        <v>99.869930668092849</v>
      </c>
    </row>
    <row r="43" spans="1:15" ht="15" thickBot="1" x14ac:dyDescent="0.35">
      <c r="A43" s="57">
        <v>45387</v>
      </c>
      <c r="B43" s="63" vm="42">
        <v>126795.41</v>
      </c>
      <c r="C43" s="65">
        <v>309561.98</v>
      </c>
      <c r="D43" s="67">
        <v>1.79017162</v>
      </c>
      <c r="E43" s="79">
        <f t="shared" si="2"/>
        <v>1.2945686053478234E-4</v>
      </c>
      <c r="F43" s="79">
        <f t="shared" ref="F43:F106" si="10">B43/B42-1</f>
        <v>-4.9606235010597466E-3</v>
      </c>
      <c r="G43" s="79">
        <f t="shared" ref="G43:G106" si="11">D43/$D$2-1</f>
        <v>2.2867303038689446E-3</v>
      </c>
      <c r="H43" s="79">
        <f t="shared" ref="H43:H106" si="12">B43/$B$2-1</f>
        <v>-6.2548645702849015E-3</v>
      </c>
      <c r="I43" s="80" t="str">
        <f t="shared" ref="I43:I106" si="13">TEXT(A43,"mmaaaa")</f>
        <v>042024</v>
      </c>
      <c r="J43" s="79">
        <f t="shared" ref="J43:J106" si="14">IF(I43=I42,(1+E43)*(1+J42)-1,E43)</f>
        <v>-1.7389162880443454E-4</v>
      </c>
      <c r="K43" s="79">
        <f t="shared" ref="K43:K106" si="15">IF(I43=I42,(1+F43)*(1+K42)-1,F43)</f>
        <v>-1.0231284849043121E-2</v>
      </c>
      <c r="L43" s="81">
        <f t="shared" ref="L43:L106" si="16">L42*(1+E43)</f>
        <v>100.2286730303869</v>
      </c>
      <c r="M43" s="82">
        <f t="shared" ref="M43:M106" si="17">M42*(1+F43)</f>
        <v>99.374513542971499</v>
      </c>
    </row>
    <row r="44" spans="1:15" ht="15" thickBot="1" x14ac:dyDescent="0.35">
      <c r="A44" s="57">
        <v>45390</v>
      </c>
      <c r="B44" s="63" vm="43">
        <v>128857.16</v>
      </c>
      <c r="C44" s="66">
        <v>315678.45</v>
      </c>
      <c r="D44" s="68">
        <v>1.81975975</v>
      </c>
      <c r="E44" s="79">
        <f t="shared" si="2"/>
        <v>1.6528096898329903E-2</v>
      </c>
      <c r="F44" s="79">
        <f t="shared" si="10"/>
        <v>1.626044665181503E-2</v>
      </c>
      <c r="G44" s="79">
        <f t="shared" si="11"/>
        <v>1.8852622502241401E-2</v>
      </c>
      <c r="H44" s="79">
        <f t="shared" si="12"/>
        <v>9.9038751898705701E-3</v>
      </c>
      <c r="I44" s="80" t="str">
        <f t="shared" si="13"/>
        <v>042024</v>
      </c>
      <c r="J44" s="79">
        <f t="shared" si="14"/>
        <v>1.6351331171834849E-2</v>
      </c>
      <c r="K44" s="79">
        <f t="shared" si="15"/>
        <v>5.8627965413045047E-3</v>
      </c>
      <c r="L44" s="81">
        <f t="shared" si="16"/>
        <v>101.88526225022416</v>
      </c>
      <c r="M44" s="82">
        <f t="shared" si="17"/>
        <v>100.99038751898706</v>
      </c>
    </row>
    <row r="45" spans="1:15" ht="15" thickBot="1" x14ac:dyDescent="0.35">
      <c r="A45" s="60">
        <v>45391</v>
      </c>
      <c r="B45" s="26" vm="44">
        <v>129890.37</v>
      </c>
      <c r="C45" s="26">
        <v>317659.45</v>
      </c>
      <c r="D45" s="68">
        <v>1.83117942</v>
      </c>
      <c r="E45" s="79">
        <f t="shared" si="2"/>
        <v>6.2753723396729022E-3</v>
      </c>
      <c r="F45" s="79">
        <f t="shared" si="10"/>
        <v>8.0182583567727228E-3</v>
      </c>
      <c r="G45" s="79">
        <f t="shared" si="11"/>
        <v>2.5246302067695181E-2</v>
      </c>
      <c r="H45" s="79">
        <f t="shared" si="12"/>
        <v>1.8001545376648886E-2</v>
      </c>
      <c r="I45" s="80" t="str">
        <f t="shared" si="13"/>
        <v>042024</v>
      </c>
      <c r="J45" s="79">
        <f t="shared" si="14"/>
        <v>2.2729314202860396E-2</v>
      </c>
      <c r="K45" s="79">
        <f t="shared" si="15"/>
        <v>1.3928064315438693E-2</v>
      </c>
      <c r="L45" s="81">
        <f t="shared" si="16"/>
        <v>102.52463020676953</v>
      </c>
      <c r="M45" s="82">
        <f t="shared" si="17"/>
        <v>101.80015453766489</v>
      </c>
    </row>
    <row r="46" spans="1:15" ht="15" thickBot="1" x14ac:dyDescent="0.35">
      <c r="A46" s="60">
        <v>45392</v>
      </c>
      <c r="B46" s="26" vm="45">
        <v>128053.74</v>
      </c>
      <c r="C46" s="26">
        <v>311869.8</v>
      </c>
      <c r="D46" s="68">
        <v>1.7978044099999999</v>
      </c>
      <c r="E46" s="79">
        <f t="shared" si="2"/>
        <v>-1.8225963898174435E-2</v>
      </c>
      <c r="F46" s="79">
        <f t="shared" si="10"/>
        <v>-1.4139847318935139E-2</v>
      </c>
      <c r="G46" s="79">
        <f t="shared" si="11"/>
        <v>6.5601999794724364E-3</v>
      </c>
      <c r="H46" s="79">
        <f t="shared" si="12"/>
        <v>3.6071589545829674E-3</v>
      </c>
      <c r="I46" s="80" t="str">
        <f t="shared" si="13"/>
        <v>042024</v>
      </c>
      <c r="J46" s="79">
        <f t="shared" si="14"/>
        <v>4.0890866445943974E-3</v>
      </c>
      <c r="K46" s="79">
        <f t="shared" si="15"/>
        <v>-4.0872370636502176E-4</v>
      </c>
      <c r="L46" s="81">
        <f t="shared" si="16"/>
        <v>100.65601999794727</v>
      </c>
      <c r="M46" s="82">
        <f t="shared" si="17"/>
        <v>100.36071589545831</v>
      </c>
    </row>
    <row r="47" spans="1:15" ht="15" thickBot="1" x14ac:dyDescent="0.35">
      <c r="A47" s="60">
        <v>45393</v>
      </c>
      <c r="B47" s="26" vm="46">
        <v>127396.35</v>
      </c>
      <c r="C47" s="26">
        <v>310067.53000000003</v>
      </c>
      <c r="D47" s="68">
        <v>1.78741504</v>
      </c>
      <c r="E47" s="79">
        <f t="shared" si="2"/>
        <v>-5.7789211897638637E-3</v>
      </c>
      <c r="F47" s="79">
        <f t="shared" si="10"/>
        <v>-5.1337040214521901E-3</v>
      </c>
      <c r="G47" s="79">
        <f t="shared" si="11"/>
        <v>7.4336791103801758E-4</v>
      </c>
      <c r="H47" s="79">
        <f t="shared" si="12"/>
        <v>-1.5450631533003856E-3</v>
      </c>
      <c r="I47" s="80" t="str">
        <f t="shared" si="13"/>
        <v>042024</v>
      </c>
      <c r="J47" s="79">
        <f t="shared" si="14"/>
        <v>-1.7134650546266617E-3</v>
      </c>
      <c r="K47" s="79">
        <f t="shared" si="15"/>
        <v>-5.5403294612821341E-3</v>
      </c>
      <c r="L47" s="81">
        <f t="shared" si="16"/>
        <v>100.07433679110383</v>
      </c>
      <c r="M47" s="82">
        <f t="shared" si="17"/>
        <v>99.845493684669975</v>
      </c>
    </row>
    <row r="48" spans="1:15" ht="15" thickBot="1" x14ac:dyDescent="0.35">
      <c r="A48" s="60">
        <v>45394</v>
      </c>
      <c r="B48" s="26" vm="47">
        <v>125946.09</v>
      </c>
      <c r="C48" s="26">
        <v>309345.27</v>
      </c>
      <c r="D48" s="68">
        <v>1.7774869</v>
      </c>
      <c r="E48" s="79">
        <f t="shared" si="2"/>
        <v>-5.5544682000661094E-3</v>
      </c>
      <c r="F48" s="79">
        <f t="shared" si="10"/>
        <v>-1.1383842629714369E-2</v>
      </c>
      <c r="G48" s="79">
        <f t="shared" si="11"/>
        <v>-4.8152293024509296E-3</v>
      </c>
      <c r="H48" s="79">
        <f t="shared" si="12"/>
        <v>-1.2911317027224589E-2</v>
      </c>
      <c r="I48" s="80" t="str">
        <f t="shared" si="13"/>
        <v>042024</v>
      </c>
      <c r="J48" s="79">
        <f t="shared" si="14"/>
        <v>-7.2584158675349508E-3</v>
      </c>
      <c r="K48" s="79">
        <f t="shared" si="15"/>
        <v>-1.6861101852292504E-2</v>
      </c>
      <c r="L48" s="81">
        <f t="shared" si="16"/>
        <v>99.518477069754937</v>
      </c>
      <c r="M48" s="82">
        <f t="shared" si="17"/>
        <v>98.708868297277547</v>
      </c>
    </row>
    <row r="49" spans="1:13" ht="15" thickBot="1" x14ac:dyDescent="0.35">
      <c r="A49" s="60">
        <v>45397</v>
      </c>
      <c r="B49" s="26" vm="48">
        <v>125333.89</v>
      </c>
      <c r="C49" s="26">
        <v>308220.33</v>
      </c>
      <c r="D49" s="68">
        <v>1.76527707</v>
      </c>
      <c r="E49" s="79">
        <f t="shared" si="2"/>
        <v>-6.8691532972759983E-3</v>
      </c>
      <c r="F49" s="79">
        <f t="shared" si="10"/>
        <v>-4.8608098909620479E-3</v>
      </c>
      <c r="G49" s="79">
        <f t="shared" si="11"/>
        <v>-1.1651306051486898E-2</v>
      </c>
      <c r="H49" s="79">
        <f t="shared" si="12"/>
        <v>-1.7709367460675307E-2</v>
      </c>
      <c r="I49" s="80" t="str">
        <f t="shared" si="13"/>
        <v>042024</v>
      </c>
      <c r="J49" s="79">
        <f t="shared" si="14"/>
        <v>-1.4077709993521426E-2</v>
      </c>
      <c r="K49" s="79">
        <f t="shared" si="15"/>
        <v>-2.1639953132598366E-2</v>
      </c>
      <c r="L49" s="81">
        <f t="shared" si="16"/>
        <v>98.834869394851339</v>
      </c>
      <c r="M49" s="82">
        <f t="shared" si="17"/>
        <v>98.229063253932466</v>
      </c>
    </row>
    <row r="50" spans="1:13" ht="15" thickBot="1" x14ac:dyDescent="0.35">
      <c r="A50" s="60">
        <v>45398</v>
      </c>
      <c r="B50" s="26" vm="49">
        <v>124388.62</v>
      </c>
      <c r="C50" s="26">
        <v>304954.67</v>
      </c>
      <c r="D50" s="68">
        <v>1.7465735899999999</v>
      </c>
      <c r="E50" s="79">
        <f t="shared" si="2"/>
        <v>-1.0595209283492335E-2</v>
      </c>
      <c r="F50" s="79">
        <f t="shared" si="10"/>
        <v>-7.5420143745638102E-3</v>
      </c>
      <c r="G50" s="79">
        <f t="shared" si="11"/>
        <v>-2.2123067308937649E-2</v>
      </c>
      <c r="H50" s="79">
        <f t="shared" si="12"/>
        <v>-2.511781753128639E-2</v>
      </c>
      <c r="I50" s="80" t="str">
        <f t="shared" si="13"/>
        <v>042024</v>
      </c>
      <c r="J50" s="79">
        <f t="shared" si="14"/>
        <v>-2.4523762993400089E-2</v>
      </c>
      <c r="K50" s="79">
        <f t="shared" si="15"/>
        <v>-2.9018758669571265E-2</v>
      </c>
      <c r="L50" s="81">
        <f t="shared" si="16"/>
        <v>97.787693269106256</v>
      </c>
      <c r="M50" s="82">
        <f t="shared" si="17"/>
        <v>97.488218246871369</v>
      </c>
    </row>
    <row r="51" spans="1:13" ht="15" thickBot="1" x14ac:dyDescent="0.35">
      <c r="A51" s="60">
        <v>45399</v>
      </c>
      <c r="B51" s="26" vm="50">
        <v>124171.15</v>
      </c>
      <c r="C51" s="26">
        <v>304014.40000000002</v>
      </c>
      <c r="D51" s="68">
        <v>1.74118836</v>
      </c>
      <c r="E51" s="79">
        <f t="shared" si="2"/>
        <v>-3.0833112505725957E-3</v>
      </c>
      <c r="F51" s="79">
        <f t="shared" si="10"/>
        <v>-1.748311059323604E-3</v>
      </c>
      <c r="G51" s="79">
        <f t="shared" si="11"/>
        <v>-2.5138166257179462E-2</v>
      </c>
      <c r="H51" s="79">
        <f t="shared" si="12"/>
        <v>-2.6822214832433966E-2</v>
      </c>
      <c r="I51" s="80" t="str">
        <f t="shared" si="13"/>
        <v>042024</v>
      </c>
      <c r="J51" s="79">
        <f t="shared" si="14"/>
        <v>-2.7531459849628792E-2</v>
      </c>
      <c r="K51" s="79">
        <f t="shared" si="15"/>
        <v>-3.0716335912185033E-2</v>
      </c>
      <c r="L51" s="81">
        <f t="shared" si="16"/>
        <v>97.486183374282078</v>
      </c>
      <c r="M51" s="82">
        <f t="shared" si="17"/>
        <v>97.317778516756604</v>
      </c>
    </row>
    <row r="52" spans="1:13" ht="15" thickBot="1" x14ac:dyDescent="0.35">
      <c r="A52" s="60">
        <v>45400</v>
      </c>
      <c r="B52" s="26" vm="51">
        <v>124196.18</v>
      </c>
      <c r="C52" s="26">
        <v>303468.71999999997</v>
      </c>
      <c r="D52" s="68">
        <v>1.7380630699999999</v>
      </c>
      <c r="E52" s="79">
        <f t="shared" si="2"/>
        <v>-1.794917811189678E-3</v>
      </c>
      <c r="F52" s="79">
        <f t="shared" si="10"/>
        <v>2.0157661421360551E-4</v>
      </c>
      <c r="G52" s="79">
        <f t="shared" si="11"/>
        <v>-2.6887963126013381E-2</v>
      </c>
      <c r="H52" s="79">
        <f t="shared" si="12"/>
        <v>-2.6626044949472072E-2</v>
      </c>
      <c r="I52" s="80" t="str">
        <f t="shared" si="13"/>
        <v>042024</v>
      </c>
      <c r="J52" s="79">
        <f t="shared" si="14"/>
        <v>-2.9276960953166342E-2</v>
      </c>
      <c r="K52" s="79">
        <f t="shared" si="15"/>
        <v>-3.0520950992965701E-2</v>
      </c>
      <c r="L52" s="81">
        <f t="shared" si="16"/>
        <v>97.311203687398674</v>
      </c>
      <c r="M52" s="82">
        <f t="shared" si="17"/>
        <v>97.337395505052797</v>
      </c>
    </row>
    <row r="53" spans="1:13" ht="15" thickBot="1" x14ac:dyDescent="0.35">
      <c r="A53" s="60">
        <v>45401</v>
      </c>
      <c r="B53" s="26" vm="52">
        <v>125124.3</v>
      </c>
      <c r="C53" s="26">
        <v>303752</v>
      </c>
      <c r="D53" s="68">
        <v>1.7396855099999999</v>
      </c>
      <c r="E53" s="79">
        <f t="shared" si="2"/>
        <v>9.3347590660219915E-4</v>
      </c>
      <c r="F53" s="79">
        <f t="shared" si="10"/>
        <v>7.4730156756834809E-3</v>
      </c>
      <c r="G53" s="79">
        <f t="shared" si="11"/>
        <v>-2.5979586485166961E-2</v>
      </c>
      <c r="H53" s="79">
        <f t="shared" si="12"/>
        <v>-1.935200612507737E-2</v>
      </c>
      <c r="I53" s="80" t="str">
        <f t="shared" si="13"/>
        <v>042024</v>
      </c>
      <c r="J53" s="79">
        <f t="shared" si="14"/>
        <v>-2.8370814384232501E-2</v>
      </c>
      <c r="K53" s="79">
        <f t="shared" si="15"/>
        <v>-2.3276018862489423E-2</v>
      </c>
      <c r="L53" s="81">
        <f t="shared" si="16"/>
        <v>97.402041351483319</v>
      </c>
      <c r="M53" s="82">
        <f t="shared" si="17"/>
        <v>98.064799387492258</v>
      </c>
    </row>
    <row r="54" spans="1:13" ht="15" thickBot="1" x14ac:dyDescent="0.35">
      <c r="A54" s="60">
        <v>45404</v>
      </c>
      <c r="B54" s="26" vm="53">
        <v>125573.16</v>
      </c>
      <c r="C54" s="26">
        <v>303834.96999999997</v>
      </c>
      <c r="D54" s="68">
        <v>1.7401606999999999</v>
      </c>
      <c r="E54" s="79">
        <f t="shared" si="2"/>
        <v>2.7314707012759953E-4</v>
      </c>
      <c r="F54" s="79">
        <f t="shared" si="10"/>
        <v>3.5873127761754109E-3</v>
      </c>
      <c r="G54" s="79">
        <f t="shared" si="11"/>
        <v>-2.5713535662970965E-2</v>
      </c>
      <c r="H54" s="79">
        <f t="shared" si="12"/>
        <v>-1.5834115047719144E-2</v>
      </c>
      <c r="I54" s="80" t="str">
        <f t="shared" si="13"/>
        <v>042024</v>
      </c>
      <c r="J54" s="79">
        <f t="shared" si="14"/>
        <v>-2.8105416718931076E-2</v>
      </c>
      <c r="K54" s="79">
        <f t="shared" si="15"/>
        <v>-1.9772204446157904E-2</v>
      </c>
      <c r="L54" s="81">
        <f t="shared" si="16"/>
        <v>97.428646433702923</v>
      </c>
      <c r="M54" s="82">
        <f t="shared" si="17"/>
        <v>98.416588495228083</v>
      </c>
    </row>
    <row r="55" spans="1:13" ht="15" thickBot="1" x14ac:dyDescent="0.35">
      <c r="A55" s="60">
        <v>45405</v>
      </c>
      <c r="B55" s="26" vm="54">
        <v>125148.07</v>
      </c>
      <c r="C55" s="26">
        <v>302542.51</v>
      </c>
      <c r="D55" s="68">
        <v>1.73275837</v>
      </c>
      <c r="E55" s="79">
        <f t="shared" si="2"/>
        <v>-4.2538197765298325E-3</v>
      </c>
      <c r="F55" s="79">
        <f t="shared" si="10"/>
        <v>-3.3851979196828363E-3</v>
      </c>
      <c r="G55" s="79">
        <f t="shared" si="11"/>
        <v>-2.9857974692973022E-2</v>
      </c>
      <c r="H55" s="79">
        <f t="shared" si="12"/>
        <v>-1.9165711354082404E-2</v>
      </c>
      <c r="I55" s="80" t="str">
        <f t="shared" si="13"/>
        <v>042024</v>
      </c>
      <c r="J55" s="79">
        <f t="shared" si="14"/>
        <v>-3.2239681117994357E-2</v>
      </c>
      <c r="K55" s="79">
        <f t="shared" si="15"/>
        <v>-2.3090469540482106E-2</v>
      </c>
      <c r="L55" s="81">
        <f t="shared" si="16"/>
        <v>97.014202530702704</v>
      </c>
      <c r="M55" s="82">
        <f t="shared" si="17"/>
        <v>98.083428864591752</v>
      </c>
    </row>
    <row r="56" spans="1:13" ht="15" thickBot="1" x14ac:dyDescent="0.35">
      <c r="A56" s="60">
        <v>45406</v>
      </c>
      <c r="B56" s="26" vm="55">
        <v>124740.69</v>
      </c>
      <c r="C56" s="26">
        <v>301111.74</v>
      </c>
      <c r="D56" s="68">
        <v>1.72456389</v>
      </c>
      <c r="E56" s="79">
        <f t="shared" si="2"/>
        <v>-4.7291533210138681E-3</v>
      </c>
      <c r="F56" s="79">
        <f t="shared" si="10"/>
        <v>-3.2551840391945586E-3</v>
      </c>
      <c r="G56" s="79">
        <f t="shared" si="11"/>
        <v>-3.4445925073808836E-2</v>
      </c>
      <c r="H56" s="79">
        <f t="shared" si="12"/>
        <v>-2.2358507475577327E-2</v>
      </c>
      <c r="I56" s="80" t="str">
        <f t="shared" si="13"/>
        <v>042024</v>
      </c>
      <c r="J56" s="79">
        <f t="shared" si="14"/>
        <v>-3.6816368043980585E-2</v>
      </c>
      <c r="K56" s="79">
        <f t="shared" si="15"/>
        <v>-2.627048985177094E-2</v>
      </c>
      <c r="L56" s="81">
        <f t="shared" si="16"/>
        <v>96.555407492619125</v>
      </c>
      <c r="M56" s="82">
        <f t="shared" si="17"/>
        <v>97.764149252442252</v>
      </c>
    </row>
    <row r="57" spans="1:13" ht="15" thickBot="1" x14ac:dyDescent="0.35">
      <c r="A57" s="60">
        <v>45407</v>
      </c>
      <c r="B57" s="26" vm="56">
        <v>124645.58</v>
      </c>
      <c r="C57" s="26">
        <v>299727.78000000003</v>
      </c>
      <c r="D57" s="68">
        <v>1.71663751</v>
      </c>
      <c r="E57" s="79">
        <f t="shared" si="2"/>
        <v>-4.5961648889679685E-3</v>
      </c>
      <c r="F57" s="79">
        <f t="shared" si="10"/>
        <v>-7.6246171157146048E-4</v>
      </c>
      <c r="G57" s="79">
        <f t="shared" si="11"/>
        <v>-3.8883770811384499E-2</v>
      </c>
      <c r="H57" s="79">
        <f t="shared" si="12"/>
        <v>-2.3103921681270734E-2</v>
      </c>
      <c r="I57" s="80" t="str">
        <f t="shared" si="13"/>
        <v>042024</v>
      </c>
      <c r="J57" s="79">
        <f t="shared" si="14"/>
        <v>-4.1243318834805476E-2</v>
      </c>
      <c r="K57" s="79">
        <f t="shared" si="15"/>
        <v>-2.7012921320686223E-2</v>
      </c>
      <c r="L57" s="81">
        <f t="shared" si="16"/>
        <v>96.111622918861556</v>
      </c>
      <c r="M57" s="82">
        <f t="shared" si="17"/>
        <v>97.689607831872905</v>
      </c>
    </row>
    <row r="58" spans="1:13" ht="15" thickBot="1" x14ac:dyDescent="0.35">
      <c r="A58" s="60">
        <v>45408</v>
      </c>
      <c r="B58" s="26" vm="57">
        <v>126526.27</v>
      </c>
      <c r="C58" s="26">
        <v>303964.62</v>
      </c>
      <c r="D58" s="68">
        <v>1.7409032499999999</v>
      </c>
      <c r="E58" s="79">
        <f t="shared" si="2"/>
        <v>1.413562261027379E-2</v>
      </c>
      <c r="F58" s="79">
        <f t="shared" si="10"/>
        <v>1.5088300764455553E-2</v>
      </c>
      <c r="G58" s="79">
        <f t="shared" si="11"/>
        <v>-2.5297794510964922E-2</v>
      </c>
      <c r="H58" s="79">
        <f t="shared" si="12"/>
        <v>-8.3642198359806796E-3</v>
      </c>
      <c r="I58" s="80" t="str">
        <f t="shared" si="13"/>
        <v>042024</v>
      </c>
      <c r="J58" s="79">
        <f t="shared" si="14"/>
        <v>-2.7690696214775712E-2</v>
      </c>
      <c r="K58" s="79">
        <f t="shared" si="15"/>
        <v>-1.2332199637643759E-2</v>
      </c>
      <c r="L58" s="81">
        <f t="shared" si="16"/>
        <v>97.470220548903526</v>
      </c>
      <c r="M58" s="82">
        <f t="shared" si="17"/>
        <v>99.163578016401914</v>
      </c>
    </row>
    <row r="59" spans="1:13" ht="15" thickBot="1" x14ac:dyDescent="0.35">
      <c r="A59" s="60">
        <v>45411</v>
      </c>
      <c r="B59" s="26" vm="58">
        <v>127351.79</v>
      </c>
      <c r="C59" s="26">
        <v>305841.46000000002</v>
      </c>
      <c r="D59" s="68">
        <v>1.7516525199999999</v>
      </c>
      <c r="E59" s="79">
        <f t="shared" si="2"/>
        <v>6.1745361208327409E-3</v>
      </c>
      <c r="F59" s="79">
        <f t="shared" si="10"/>
        <v>6.5244948736731256E-3</v>
      </c>
      <c r="G59" s="79">
        <f t="shared" si="11"/>
        <v>-1.9279460536117621E-2</v>
      </c>
      <c r="H59" s="79">
        <f t="shared" si="12"/>
        <v>-1.894297271749612E-3</v>
      </c>
      <c r="I59" s="80" t="str">
        <f t="shared" si="13"/>
        <v>042024</v>
      </c>
      <c r="J59" s="79">
        <f t="shared" si="14"/>
        <v>-2.1687137297932146E-2</v>
      </c>
      <c r="K59" s="79">
        <f t="shared" si="15"/>
        <v>-5.8881661372875982E-3</v>
      </c>
      <c r="L59" s="81">
        <f t="shared" si="16"/>
        <v>98.072053946388266</v>
      </c>
      <c r="M59" s="82">
        <f t="shared" si="17"/>
        <v>99.810570272825018</v>
      </c>
    </row>
    <row r="60" spans="1:13" ht="15" thickBot="1" x14ac:dyDescent="0.35">
      <c r="A60" s="60">
        <v>45412</v>
      </c>
      <c r="B60" s="26" vm="59">
        <v>125924.19</v>
      </c>
      <c r="C60" s="26">
        <v>302737.53000000003</v>
      </c>
      <c r="D60" s="68">
        <v>1.7338753099999999</v>
      </c>
      <c r="E60" s="79">
        <f t="shared" si="2"/>
        <v>-1.0148822210468977E-2</v>
      </c>
      <c r="F60" s="79">
        <f t="shared" si="10"/>
        <v>-1.1209893476958555E-2</v>
      </c>
      <c r="G60" s="79">
        <f t="shared" si="11"/>
        <v>-2.9232618929291854E-2</v>
      </c>
      <c r="H60" s="79">
        <f t="shared" si="12"/>
        <v>-1.3082955878078173E-2</v>
      </c>
      <c r="I60" s="80" t="str">
        <f t="shared" si="13"/>
        <v>042024</v>
      </c>
      <c r="J60" s="79">
        <f t="shared" si="14"/>
        <v>-3.1615860607710378E-2</v>
      </c>
      <c r="K60" s="79">
        <f t="shared" si="15"/>
        <v>-1.7032053899072475E-2</v>
      </c>
      <c r="L60" s="81">
        <f t="shared" si="16"/>
        <v>97.076738107070852</v>
      </c>
      <c r="M60" s="82">
        <f t="shared" si="17"/>
        <v>98.691704412192166</v>
      </c>
    </row>
    <row r="61" spans="1:13" ht="15" thickBot="1" x14ac:dyDescent="0.35">
      <c r="A61" s="60">
        <v>45414</v>
      </c>
      <c r="B61" s="26" vm="60">
        <v>127122.25</v>
      </c>
      <c r="C61" s="26">
        <v>306216.81</v>
      </c>
      <c r="D61" s="68">
        <v>1.75380227</v>
      </c>
      <c r="E61" s="79">
        <f t="shared" si="2"/>
        <v>1.1492729543510327E-2</v>
      </c>
      <c r="F61" s="79">
        <f t="shared" si="10"/>
        <v>9.5141370375302348E-3</v>
      </c>
      <c r="G61" s="79">
        <f t="shared" si="11"/>
        <v>-1.8075851968984424E-2</v>
      </c>
      <c r="H61" s="79">
        <f t="shared" si="12"/>
        <v>-3.6932918756278355E-3</v>
      </c>
      <c r="I61" s="80" t="str">
        <f t="shared" si="13"/>
        <v>052024</v>
      </c>
      <c r="J61" s="79">
        <f t="shared" si="14"/>
        <v>1.1492729543510327E-2</v>
      </c>
      <c r="K61" s="79">
        <f t="shared" si="15"/>
        <v>9.5141370375302348E-3</v>
      </c>
      <c r="L61" s="81">
        <f t="shared" si="16"/>
        <v>98.192414803101599</v>
      </c>
      <c r="M61" s="82">
        <f t="shared" si="17"/>
        <v>99.630670812437188</v>
      </c>
    </row>
    <row r="62" spans="1:13" ht="15" thickBot="1" x14ac:dyDescent="0.35">
      <c r="A62" s="60">
        <v>45415</v>
      </c>
      <c r="B62" s="26" vm="61">
        <v>128508.67</v>
      </c>
      <c r="C62" s="26">
        <v>310682.23</v>
      </c>
      <c r="D62" s="68">
        <v>1.7793771700000001</v>
      </c>
      <c r="E62" s="79">
        <f t="shared" si="2"/>
        <v>1.4582544701575717E-2</v>
      </c>
      <c r="F62" s="79">
        <f t="shared" si="10"/>
        <v>1.0906194627612331E-2</v>
      </c>
      <c r="G62" s="79">
        <f t="shared" si="11"/>
        <v>-3.7568991867653612E-3</v>
      </c>
      <c r="H62" s="79">
        <f t="shared" si="12"/>
        <v>7.1726229919724105E-3</v>
      </c>
      <c r="I62" s="80" t="str">
        <f t="shared" si="13"/>
        <v>052024</v>
      </c>
      <c r="J62" s="79">
        <f t="shared" si="14"/>
        <v>2.6242867487397348E-2</v>
      </c>
      <c r="K62" s="79">
        <f t="shared" si="15"/>
        <v>2.052409469538774E-2</v>
      </c>
      <c r="L62" s="81">
        <f t="shared" si="16"/>
        <v>99.624310081323486</v>
      </c>
      <c r="M62" s="82">
        <f t="shared" si="17"/>
        <v>100.7172622991972</v>
      </c>
    </row>
    <row r="63" spans="1:13" ht="15" thickBot="1" x14ac:dyDescent="0.35">
      <c r="A63" s="60">
        <v>45418</v>
      </c>
      <c r="B63" s="26" vm="62">
        <v>128465.69</v>
      </c>
      <c r="C63" s="26">
        <v>312512.77</v>
      </c>
      <c r="D63" s="68">
        <v>1.7898612599999999</v>
      </c>
      <c r="E63" s="79">
        <f t="shared" si="2"/>
        <v>5.891999839471751E-3</v>
      </c>
      <c r="F63" s="79">
        <f t="shared" si="10"/>
        <v>-3.3445214241178967E-4</v>
      </c>
      <c r="G63" s="79">
        <f t="shared" si="11"/>
        <v>2.1129650033011593E-3</v>
      </c>
      <c r="H63" s="79">
        <f t="shared" si="12"/>
        <v>6.8357719504341663E-3</v>
      </c>
      <c r="I63" s="80" t="str">
        <f t="shared" si="13"/>
        <v>052024</v>
      </c>
      <c r="J63" s="79">
        <f t="shared" si="14"/>
        <v>3.2289490297892076E-2</v>
      </c>
      <c r="K63" s="79">
        <f t="shared" si="15"/>
        <v>2.0182778225533937E-2</v>
      </c>
      <c r="L63" s="81">
        <f t="shared" si="16"/>
        <v>100.21129650033012</v>
      </c>
      <c r="M63" s="82">
        <f t="shared" si="17"/>
        <v>100.68357719504338</v>
      </c>
    </row>
    <row r="64" spans="1:13" ht="15" thickBot="1" x14ac:dyDescent="0.35">
      <c r="A64" s="60">
        <v>45419</v>
      </c>
      <c r="B64" s="26" vm="63">
        <v>129210.48</v>
      </c>
      <c r="C64" s="26">
        <v>312520.61</v>
      </c>
      <c r="D64" s="68">
        <v>1.7899061599999999</v>
      </c>
      <c r="E64" s="79">
        <f t="shared" si="2"/>
        <v>2.5085743238006941E-5</v>
      </c>
      <c r="F64" s="79">
        <f t="shared" si="10"/>
        <v>5.7975791045841163E-3</v>
      </c>
      <c r="G64" s="79">
        <f t="shared" si="11"/>
        <v>2.1381037518366508E-3</v>
      </c>
      <c r="H64" s="79">
        <f t="shared" si="12"/>
        <v>1.2672981983641973E-2</v>
      </c>
      <c r="I64" s="80" t="str">
        <f t="shared" si="13"/>
        <v>052024</v>
      </c>
      <c r="J64" s="79">
        <f t="shared" si="14"/>
        <v>3.2315386046992911E-2</v>
      </c>
      <c r="K64" s="79">
        <f t="shared" si="15"/>
        <v>2.6097368583430924E-2</v>
      </c>
      <c r="L64" s="81">
        <f t="shared" si="16"/>
        <v>100.21381037518367</v>
      </c>
      <c r="M64" s="82">
        <f t="shared" si="17"/>
        <v>101.26729819836414</v>
      </c>
    </row>
    <row r="65" spans="1:13" ht="15" thickBot="1" x14ac:dyDescent="0.35">
      <c r="A65" s="60">
        <v>45420</v>
      </c>
      <c r="B65" s="26" vm="64">
        <v>129480.89</v>
      </c>
      <c r="C65" s="26">
        <v>312621.7</v>
      </c>
      <c r="D65" s="68">
        <v>1.7904851399999999</v>
      </c>
      <c r="E65" s="79">
        <f t="shared" si="2"/>
        <v>3.2346947171801865E-4</v>
      </c>
      <c r="F65" s="79">
        <f t="shared" si="10"/>
        <v>2.0927869008768862E-3</v>
      </c>
      <c r="G65" s="79">
        <f t="shared" si="11"/>
        <v>2.4622648348457954E-3</v>
      </c>
      <c r="H65" s="79">
        <f t="shared" si="12"/>
        <v>1.4792290735209157E-2</v>
      </c>
      <c r="I65" s="80" t="str">
        <f t="shared" si="13"/>
        <v>052024</v>
      </c>
      <c r="J65" s="79">
        <f t="shared" si="14"/>
        <v>3.2649308559563828E-2</v>
      </c>
      <c r="K65" s="79">
        <f t="shared" si="15"/>
        <v>2.8244771715426609E-2</v>
      </c>
      <c r="L65" s="81">
        <f t="shared" si="16"/>
        <v>100.24622648348458</v>
      </c>
      <c r="M65" s="82">
        <f t="shared" si="17"/>
        <v>101.47922907352087</v>
      </c>
    </row>
    <row r="66" spans="1:13" ht="15" thickBot="1" x14ac:dyDescent="0.35">
      <c r="A66" s="60">
        <v>45421</v>
      </c>
      <c r="B66" s="26" vm="65">
        <v>128188.34</v>
      </c>
      <c r="C66" s="26">
        <v>306896.26</v>
      </c>
      <c r="D66" s="68">
        <v>1.7576936999999999</v>
      </c>
      <c r="E66" s="79">
        <f t="shared" si="2"/>
        <v>-1.8314276542948593E-2</v>
      </c>
      <c r="F66" s="79">
        <f t="shared" si="10"/>
        <v>-9.9825541823198582E-3</v>
      </c>
      <c r="G66" s="79">
        <f t="shared" si="11"/>
        <v>-1.5897106307210196E-2</v>
      </c>
      <c r="H66" s="79">
        <f t="shared" si="12"/>
        <v>4.6620717091443442E-3</v>
      </c>
      <c r="I66" s="80" t="str">
        <f t="shared" si="13"/>
        <v>052024</v>
      </c>
      <c r="J66" s="79">
        <f t="shared" si="14"/>
        <v>1.3737083550719342E-2</v>
      </c>
      <c r="K66" s="79">
        <f t="shared" si="15"/>
        <v>1.7980262569090355E-2</v>
      </c>
      <c r="L66" s="81">
        <f t="shared" si="16"/>
        <v>98.410289369278985</v>
      </c>
      <c r="M66" s="82">
        <f t="shared" si="17"/>
        <v>100.4662071709144</v>
      </c>
    </row>
    <row r="67" spans="1:13" ht="15" thickBot="1" x14ac:dyDescent="0.35">
      <c r="A67" s="60">
        <v>45422</v>
      </c>
      <c r="B67" s="26" vm="66">
        <v>127599.57</v>
      </c>
      <c r="C67" s="26">
        <v>307103.01</v>
      </c>
      <c r="D67" s="68">
        <v>1.7588778199999999</v>
      </c>
      <c r="E67" s="79">
        <f t="shared" si="2"/>
        <v>6.7367824098130136E-4</v>
      </c>
      <c r="F67" s="79">
        <f t="shared" si="10"/>
        <v>-4.593007445138797E-3</v>
      </c>
      <c r="G67" s="79">
        <f t="shared" si="11"/>
        <v>-1.5234137600842579E-2</v>
      </c>
      <c r="H67" s="79">
        <f t="shared" si="12"/>
        <v>4.7651333935583295E-5</v>
      </c>
      <c r="I67" s="80" t="str">
        <f t="shared" si="13"/>
        <v>052024</v>
      </c>
      <c r="J67" s="79">
        <f t="shared" si="14"/>
        <v>1.4420016165983318E-2</v>
      </c>
      <c r="K67" s="79">
        <f t="shared" si="15"/>
        <v>1.3304671644106092E-2</v>
      </c>
      <c r="L67" s="81">
        <f t="shared" si="16"/>
        <v>98.476586239915747</v>
      </c>
      <c r="M67" s="82">
        <f t="shared" si="17"/>
        <v>100.00476513339353</v>
      </c>
    </row>
    <row r="68" spans="1:13" ht="15" thickBot="1" x14ac:dyDescent="0.35">
      <c r="A68" s="60">
        <v>45425</v>
      </c>
      <c r="B68" s="26" vm="67">
        <v>128154.79</v>
      </c>
      <c r="C68" s="26">
        <v>309925.94</v>
      </c>
      <c r="D68" s="68">
        <v>1.77504565</v>
      </c>
      <c r="E68" s="79">
        <f t="shared" ref="E68:E131" si="18">D68/D67-1</f>
        <v>9.1921279671376421E-3</v>
      </c>
      <c r="F68" s="79">
        <f t="shared" si="10"/>
        <v>4.3512685818611896E-3</v>
      </c>
      <c r="G68" s="79">
        <f t="shared" si="11"/>
        <v>-6.1820437760008451E-3</v>
      </c>
      <c r="H68" s="79">
        <f t="shared" si="12"/>
        <v>4.3991272595489406E-3</v>
      </c>
      <c r="I68" s="80" t="str">
        <f t="shared" si="13"/>
        <v>052024</v>
      </c>
      <c r="J68" s="79">
        <f t="shared" si="14"/>
        <v>2.3744694767006802E-2</v>
      </c>
      <c r="K68" s="79">
        <f t="shared" si="15"/>
        <v>1.7713832425684251E-2</v>
      </c>
      <c r="L68" s="81">
        <f t="shared" si="16"/>
        <v>99.38179562239992</v>
      </c>
      <c r="M68" s="82">
        <f t="shared" si="17"/>
        <v>100.43991272595487</v>
      </c>
    </row>
    <row r="69" spans="1:13" ht="15" thickBot="1" x14ac:dyDescent="0.35">
      <c r="A69" s="60">
        <v>45426</v>
      </c>
      <c r="B69" s="26" vm="68">
        <v>128515.49</v>
      </c>
      <c r="C69" s="26">
        <v>311905.01</v>
      </c>
      <c r="D69" s="68">
        <v>1.78638042</v>
      </c>
      <c r="E69" s="79">
        <f t="shared" si="18"/>
        <v>6.385621688095755E-3</v>
      </c>
      <c r="F69" s="79">
        <f t="shared" si="10"/>
        <v>2.8145651052138287E-3</v>
      </c>
      <c r="G69" s="79">
        <f t="shared" si="11"/>
        <v>1.6410171928216144E-4</v>
      </c>
      <c r="H69" s="79">
        <f t="shared" si="12"/>
        <v>7.2260739948408759E-3</v>
      </c>
      <c r="I69" s="80" t="str">
        <f t="shared" si="13"/>
        <v>052024</v>
      </c>
      <c r="J69" s="79">
        <f t="shared" si="14"/>
        <v>3.0281941092983988E-2</v>
      </c>
      <c r="K69" s="79">
        <f t="shared" si="15"/>
        <v>2.0578254265523066E-2</v>
      </c>
      <c r="L69" s="81">
        <f t="shared" si="16"/>
        <v>100.01641017192821</v>
      </c>
      <c r="M69" s="82">
        <f t="shared" si="17"/>
        <v>100.72260739948406</v>
      </c>
    </row>
    <row r="70" spans="1:13" ht="15" thickBot="1" x14ac:dyDescent="0.35">
      <c r="A70" s="60">
        <v>45427</v>
      </c>
      <c r="B70" s="26" vm="69">
        <v>128027.59</v>
      </c>
      <c r="C70" s="26">
        <v>313100.09999999998</v>
      </c>
      <c r="D70" s="68">
        <v>1.79322509</v>
      </c>
      <c r="E70" s="79">
        <f t="shared" si="18"/>
        <v>3.8315858835935579E-3</v>
      </c>
      <c r="F70" s="79">
        <f t="shared" si="10"/>
        <v>-3.7964295198968934E-3</v>
      </c>
      <c r="G70" s="79">
        <f t="shared" si="11"/>
        <v>3.9963163727068096E-3</v>
      </c>
      <c r="H70" s="79">
        <f t="shared" si="12"/>
        <v>3.4022111943170508E-3</v>
      </c>
      <c r="I70" s="80" t="str">
        <f t="shared" si="13"/>
        <v>052024</v>
      </c>
      <c r="J70" s="79">
        <f t="shared" si="14"/>
        <v>3.422955483459722E-2</v>
      </c>
      <c r="K70" s="79">
        <f t="shared" si="15"/>
        <v>1.6703700853664571E-2</v>
      </c>
      <c r="L70" s="81">
        <f t="shared" si="16"/>
        <v>100.39963163727067</v>
      </c>
      <c r="M70" s="82">
        <f t="shared" si="17"/>
        <v>100.34022111943167</v>
      </c>
    </row>
    <row r="71" spans="1:13" ht="15" thickBot="1" x14ac:dyDescent="0.35">
      <c r="A71" s="60">
        <v>45428</v>
      </c>
      <c r="B71" s="26" vm="70">
        <v>128283.62</v>
      </c>
      <c r="C71" s="26">
        <v>314964.44</v>
      </c>
      <c r="D71" s="68">
        <v>1.8039027599999999</v>
      </c>
      <c r="E71" s="79">
        <f t="shared" si="18"/>
        <v>5.9544504811719356E-3</v>
      </c>
      <c r="F71" s="79">
        <f t="shared" si="10"/>
        <v>1.9998033236430235E-3</v>
      </c>
      <c r="G71" s="79">
        <f t="shared" si="11"/>
        <v>9.9745627218270627E-3</v>
      </c>
      <c r="H71" s="79">
        <f t="shared" si="12"/>
        <v>5.4088182712141997E-3</v>
      </c>
      <c r="I71" s="80" t="str">
        <f t="shared" si="13"/>
        <v>052024</v>
      </c>
      <c r="J71" s="79">
        <f t="shared" si="14"/>
        <v>4.0387823505024345E-2</v>
      </c>
      <c r="K71" s="79">
        <f t="shared" si="15"/>
        <v>1.8736908293791821E-2</v>
      </c>
      <c r="L71" s="81">
        <f t="shared" si="16"/>
        <v>100.9974562721827</v>
      </c>
      <c r="M71" s="82">
        <f t="shared" si="17"/>
        <v>100.5408818271214</v>
      </c>
    </row>
    <row r="72" spans="1:13" ht="15" thickBot="1" x14ac:dyDescent="0.35">
      <c r="A72" s="60">
        <v>45429</v>
      </c>
      <c r="B72" s="26" vm="71">
        <v>128150.71</v>
      </c>
      <c r="C72" s="26">
        <v>314136.88</v>
      </c>
      <c r="D72" s="68">
        <v>1.7991630599999999</v>
      </c>
      <c r="E72" s="79">
        <f t="shared" si="18"/>
        <v>-2.6274697866751628E-3</v>
      </c>
      <c r="F72" s="79">
        <f t="shared" si="10"/>
        <v>-1.0360636845139215E-3</v>
      </c>
      <c r="G72" s="79">
        <f t="shared" si="11"/>
        <v>7.3208850729649111E-3</v>
      </c>
      <c r="H72" s="79">
        <f t="shared" si="12"/>
        <v>4.3671507065132786E-3</v>
      </c>
      <c r="I72" s="80" t="str">
        <f t="shared" si="13"/>
        <v>052024</v>
      </c>
      <c r="J72" s="79">
        <f t="shared" si="14"/>
        <v>3.7654235932340185E-2</v>
      </c>
      <c r="K72" s="79">
        <f t="shared" si="15"/>
        <v>1.7681431979034601E-2</v>
      </c>
      <c r="L72" s="81">
        <f t="shared" si="16"/>
        <v>100.7320885072965</v>
      </c>
      <c r="M72" s="82">
        <f t="shared" si="17"/>
        <v>100.4367150706513</v>
      </c>
    </row>
    <row r="73" spans="1:13" ht="15" thickBot="1" x14ac:dyDescent="0.35">
      <c r="A73" s="60">
        <v>45432</v>
      </c>
      <c r="B73" s="26" vm="72">
        <v>127750.92</v>
      </c>
      <c r="C73" s="26">
        <v>312728.71000000002</v>
      </c>
      <c r="D73" s="68">
        <v>1.79109802</v>
      </c>
      <c r="E73" s="79">
        <f t="shared" si="18"/>
        <v>-4.4826620662165029E-3</v>
      </c>
      <c r="F73" s="79">
        <f t="shared" si="10"/>
        <v>-3.1196861882388793E-3</v>
      </c>
      <c r="G73" s="79">
        <f t="shared" si="11"/>
        <v>2.8054059529407649E-3</v>
      </c>
      <c r="H73" s="79">
        <f t="shared" si="12"/>
        <v>1.2338403785334684E-3</v>
      </c>
      <c r="I73" s="80" t="str">
        <f t="shared" si="13"/>
        <v>052024</v>
      </c>
      <c r="J73" s="79">
        <f t="shared" si="14"/>
        <v>3.3002782651077478E-2</v>
      </c>
      <c r="K73" s="79">
        <f t="shared" si="15"/>
        <v>1.4506585271662376E-2</v>
      </c>
      <c r="L73" s="81">
        <f t="shared" si="16"/>
        <v>100.28054059529407</v>
      </c>
      <c r="M73" s="82">
        <f t="shared" si="17"/>
        <v>100.12338403785331</v>
      </c>
    </row>
    <row r="74" spans="1:13" ht="15" thickBot="1" x14ac:dyDescent="0.35">
      <c r="A74" s="60">
        <v>45433</v>
      </c>
      <c r="B74" s="26" vm="73">
        <v>127411.55</v>
      </c>
      <c r="C74" s="26">
        <v>311703.12</v>
      </c>
      <c r="D74" s="68">
        <v>1.78522413</v>
      </c>
      <c r="E74" s="79">
        <f t="shared" si="18"/>
        <v>-3.2794910911687625E-3</v>
      </c>
      <c r="F74" s="79">
        <f t="shared" si="10"/>
        <v>-2.6564975031099225E-3</v>
      </c>
      <c r="G74" s="79">
        <f t="shared" si="11"/>
        <v>-4.8328544205777924E-4</v>
      </c>
      <c r="H74" s="79">
        <f t="shared" si="12"/>
        <v>-1.4259348184613163E-3</v>
      </c>
      <c r="I74" s="80" t="str">
        <f t="shared" si="13"/>
        <v>052024</v>
      </c>
      <c r="J74" s="79">
        <f t="shared" si="14"/>
        <v>2.9615059228220719E-2</v>
      </c>
      <c r="K74" s="79">
        <f t="shared" si="15"/>
        <v>1.1811551060999737E-2</v>
      </c>
      <c r="L74" s="81">
        <f t="shared" si="16"/>
        <v>99.951671455794212</v>
      </c>
      <c r="M74" s="82">
        <f t="shared" si="17"/>
        <v>99.857406518153837</v>
      </c>
    </row>
    <row r="75" spans="1:13" ht="15" thickBot="1" x14ac:dyDescent="0.35">
      <c r="A75" s="60">
        <v>45434</v>
      </c>
      <c r="B75" s="26" vm="74">
        <v>125650.03</v>
      </c>
      <c r="C75" s="26">
        <v>305661.09999999998</v>
      </c>
      <c r="D75" s="68">
        <v>1.75061954</v>
      </c>
      <c r="E75" s="79">
        <f t="shared" si="18"/>
        <v>-1.9383891029973954E-2</v>
      </c>
      <c r="F75" s="79">
        <f t="shared" si="10"/>
        <v>-1.3825434193367903E-2</v>
      </c>
      <c r="G75" s="79">
        <f t="shared" si="11"/>
        <v>-1.9857808519686548E-2</v>
      </c>
      <c r="H75" s="79">
        <f t="shared" si="12"/>
        <v>-1.5231654843832598E-2</v>
      </c>
      <c r="I75" s="80" t="str">
        <f t="shared" si="13"/>
        <v>052024</v>
      </c>
      <c r="J75" s="79">
        <f t="shared" si="14"/>
        <v>9.6571131173206481E-3</v>
      </c>
      <c r="K75" s="79">
        <f t="shared" si="15"/>
        <v>-2.1771829542835963E-3</v>
      </c>
      <c r="L75" s="81">
        <f t="shared" si="16"/>
        <v>98.014219148031344</v>
      </c>
      <c r="M75" s="82">
        <f t="shared" si="17"/>
        <v>98.476834515616716</v>
      </c>
    </row>
    <row r="76" spans="1:13" ht="15" thickBot="1" x14ac:dyDescent="0.35">
      <c r="A76" s="60">
        <v>45435</v>
      </c>
      <c r="B76" s="26" vm="75">
        <v>124729.4</v>
      </c>
      <c r="C76" s="26">
        <v>303478.07</v>
      </c>
      <c r="D76" s="68">
        <v>1.73811662</v>
      </c>
      <c r="E76" s="79">
        <f t="shared" si="18"/>
        <v>-7.1419972840015555E-3</v>
      </c>
      <c r="F76" s="79">
        <f t="shared" si="10"/>
        <v>-7.3269381630868269E-3</v>
      </c>
      <c r="G76" s="79">
        <f t="shared" si="11"/>
        <v>-2.6857981389174168E-2</v>
      </c>
      <c r="H76" s="79">
        <f t="shared" si="12"/>
        <v>-2.2446991613757183E-2</v>
      </c>
      <c r="I76" s="80" t="str">
        <f t="shared" si="13"/>
        <v>052024</v>
      </c>
      <c r="J76" s="79">
        <f t="shared" si="14"/>
        <v>2.446144757663804E-3</v>
      </c>
      <c r="K76" s="79">
        <f t="shared" si="15"/>
        <v>-9.4881690324946089E-3</v>
      </c>
      <c r="L76" s="81">
        <f t="shared" si="16"/>
        <v>97.314201861082566</v>
      </c>
      <c r="M76" s="82">
        <f t="shared" si="17"/>
        <v>97.755300838624251</v>
      </c>
    </row>
    <row r="77" spans="1:13" ht="15" thickBot="1" x14ac:dyDescent="0.35">
      <c r="A77" s="60">
        <v>45436</v>
      </c>
      <c r="B77" s="26" vm="76">
        <v>124305.57</v>
      </c>
      <c r="C77" s="26">
        <v>301850.64</v>
      </c>
      <c r="D77" s="68">
        <v>1.72879581</v>
      </c>
      <c r="E77" s="79">
        <f t="shared" si="18"/>
        <v>-5.3625918380550974E-3</v>
      </c>
      <c r="F77" s="79">
        <f t="shared" si="10"/>
        <v>-3.3979959817010963E-3</v>
      </c>
      <c r="G77" s="79">
        <f t="shared" si="11"/>
        <v>-3.2076544835445087E-2</v>
      </c>
      <c r="H77" s="79">
        <f t="shared" si="12"/>
        <v>-2.5768712808153404E-2</v>
      </c>
      <c r="I77" s="80" t="str">
        <f t="shared" si="13"/>
        <v>052024</v>
      </c>
      <c r="J77" s="79">
        <f t="shared" si="14"/>
        <v>-2.9295647563034599E-3</v>
      </c>
      <c r="K77" s="79">
        <f t="shared" si="15"/>
        <v>-1.28539242539496E-2</v>
      </c>
      <c r="L77" s="81">
        <f t="shared" si="16"/>
        <v>96.792345516455484</v>
      </c>
      <c r="M77" s="82">
        <f t="shared" si="17"/>
        <v>97.423128719184618</v>
      </c>
    </row>
    <row r="78" spans="1:13" ht="15" thickBot="1" x14ac:dyDescent="0.35">
      <c r="A78" s="60">
        <v>45439</v>
      </c>
      <c r="B78" s="26" vm="77">
        <v>124495.67999999999</v>
      </c>
      <c r="C78" s="26">
        <v>303004.36</v>
      </c>
      <c r="D78" s="68">
        <v>1.7354035299999999</v>
      </c>
      <c r="E78" s="79">
        <f t="shared" si="18"/>
        <v>3.8221517901526614E-3</v>
      </c>
      <c r="F78" s="79">
        <f t="shared" si="10"/>
        <v>1.5293763585975118E-3</v>
      </c>
      <c r="G78" s="79">
        <f t="shared" si="11"/>
        <v>-2.8376994468557126E-2</v>
      </c>
      <c r="H78" s="79">
        <f t="shared" si="12"/>
        <v>-2.4278746509716176E-2</v>
      </c>
      <c r="I78" s="80" t="str">
        <f t="shared" si="13"/>
        <v>052024</v>
      </c>
      <c r="J78" s="79">
        <f t="shared" si="14"/>
        <v>8.8138979267160522E-4</v>
      </c>
      <c r="K78" s="79">
        <f t="shared" si="15"/>
        <v>-1.1344206383221311E-2</v>
      </c>
      <c r="L78" s="81">
        <f t="shared" si="16"/>
        <v>97.162300553144277</v>
      </c>
      <c r="M78" s="82">
        <f t="shared" si="17"/>
        <v>97.57212534902834</v>
      </c>
    </row>
    <row r="79" spans="1:13" ht="15" thickBot="1" x14ac:dyDescent="0.35">
      <c r="A79" s="60">
        <v>45440</v>
      </c>
      <c r="B79" s="26" vm="78">
        <v>123779.54</v>
      </c>
      <c r="C79" s="26">
        <v>300402.94</v>
      </c>
      <c r="D79" s="68">
        <v>1.7205043600000001</v>
      </c>
      <c r="E79" s="79">
        <f t="shared" si="18"/>
        <v>-8.5854210518978569E-3</v>
      </c>
      <c r="F79" s="79">
        <f t="shared" si="10"/>
        <v>-5.7523281129112647E-3</v>
      </c>
      <c r="G79" s="79">
        <f t="shared" si="11"/>
        <v>-3.6718787074755066E-2</v>
      </c>
      <c r="H79" s="79">
        <f t="shared" si="12"/>
        <v>-2.9891415306533387E-2</v>
      </c>
      <c r="I79" s="80" t="str">
        <f t="shared" si="13"/>
        <v>052024</v>
      </c>
      <c r="J79" s="79">
        <f t="shared" si="14"/>
        <v>-7.7115983617072059E-3</v>
      </c>
      <c r="K79" s="79">
        <f t="shared" si="15"/>
        <v>-1.7031278898835711E-2</v>
      </c>
      <c r="L79" s="81">
        <f t="shared" si="16"/>
        <v>96.328121292524486</v>
      </c>
      <c r="M79" s="82">
        <f t="shared" si="17"/>
        <v>97.010858469346616</v>
      </c>
    </row>
    <row r="80" spans="1:13" ht="15" thickBot="1" x14ac:dyDescent="0.35">
      <c r="A80" s="60">
        <v>45441</v>
      </c>
      <c r="B80" s="26" vm="79">
        <v>122707.28</v>
      </c>
      <c r="C80" s="26">
        <v>298345</v>
      </c>
      <c r="D80" s="68">
        <v>1.70871788</v>
      </c>
      <c r="E80" s="79">
        <f t="shared" si="18"/>
        <v>-6.8505958334218464E-3</v>
      </c>
      <c r="F80" s="79">
        <f t="shared" si="10"/>
        <v>-8.66265943466904E-3</v>
      </c>
      <c r="G80" s="79">
        <f t="shared" si="11"/>
        <v>-4.3317837338434306E-2</v>
      </c>
      <c r="H80" s="79">
        <f t="shared" si="12"/>
        <v>-3.8295135590381668E-2</v>
      </c>
      <c r="I80" s="80" t="str">
        <f t="shared" si="13"/>
        <v>052024</v>
      </c>
      <c r="J80" s="79">
        <f t="shared" si="14"/>
        <v>-1.4509365151523346E-2</v>
      </c>
      <c r="K80" s="79">
        <f t="shared" si="15"/>
        <v>-2.5546402164667303E-2</v>
      </c>
      <c r="L80" s="81">
        <f t="shared" si="16"/>
        <v>95.668216266156563</v>
      </c>
      <c r="M80" s="82">
        <f t="shared" si="17"/>
        <v>96.170486440961781</v>
      </c>
    </row>
    <row r="81" spans="1:13" ht="15" thickBot="1" x14ac:dyDescent="0.35">
      <c r="A81" s="60">
        <v>45443</v>
      </c>
      <c r="B81" s="26" vm="80">
        <v>122098.09</v>
      </c>
      <c r="C81" s="26">
        <v>295633.43</v>
      </c>
      <c r="D81" s="68">
        <v>1.69318784</v>
      </c>
      <c r="E81" s="79">
        <f t="shared" si="18"/>
        <v>-9.0887092490657961E-3</v>
      </c>
      <c r="F81" s="79">
        <f t="shared" si="10"/>
        <v>-4.9645791186961885E-3</v>
      </c>
      <c r="G81" s="79">
        <f t="shared" si="11"/>
        <v>-5.2012843358632654E-2</v>
      </c>
      <c r="H81" s="79">
        <f t="shared" si="12"/>
        <v>-4.3069595478578138E-2</v>
      </c>
      <c r="I81" s="80" t="str">
        <f t="shared" si="13"/>
        <v>052024</v>
      </c>
      <c r="J81" s="79">
        <f t="shared" si="14"/>
        <v>-2.3466202999338437E-2</v>
      </c>
      <c r="K81" s="79">
        <f t="shared" si="15"/>
        <v>-3.0384154148618947E-2</v>
      </c>
      <c r="L81" s="81">
        <f t="shared" si="16"/>
        <v>94.798715664136722</v>
      </c>
      <c r="M81" s="82">
        <f t="shared" si="17"/>
        <v>95.693040452142128</v>
      </c>
    </row>
    <row r="82" spans="1:13" ht="15" thickBot="1" x14ac:dyDescent="0.35">
      <c r="A82" s="60">
        <v>45446</v>
      </c>
      <c r="B82" s="26" vm="81">
        <v>122031.58</v>
      </c>
      <c r="C82" s="26">
        <v>296266.67</v>
      </c>
      <c r="D82" s="68">
        <v>1.6968146099999999</v>
      </c>
      <c r="E82" s="79">
        <f t="shared" si="18"/>
        <v>2.141977348478985E-3</v>
      </c>
      <c r="F82" s="79">
        <f t="shared" si="10"/>
        <v>-5.4472596581978117E-4</v>
      </c>
      <c r="G82" s="79">
        <f t="shared" si="11"/>
        <v>-4.9982276342457999E-2</v>
      </c>
      <c r="H82" s="79">
        <f t="shared" si="12"/>
        <v>-4.3590860317403335E-2</v>
      </c>
      <c r="I82" s="80" t="str">
        <f t="shared" si="13"/>
        <v>062024</v>
      </c>
      <c r="J82" s="79">
        <f t="shared" si="14"/>
        <v>2.141977348478985E-3</v>
      </c>
      <c r="K82" s="79">
        <f t="shared" si="15"/>
        <v>-5.4472596581978117E-4</v>
      </c>
      <c r="L82" s="81">
        <f t="shared" si="16"/>
        <v>95.001772365754206</v>
      </c>
      <c r="M82" s="82">
        <f t="shared" si="17"/>
        <v>95.640913968259611</v>
      </c>
    </row>
    <row r="83" spans="1:13" ht="15" thickBot="1" x14ac:dyDescent="0.35">
      <c r="A83" s="60">
        <v>45447</v>
      </c>
      <c r="B83" s="26" vm="82">
        <v>121802.06</v>
      </c>
      <c r="C83" s="26">
        <v>296154.88</v>
      </c>
      <c r="D83" s="68">
        <v>1.6961743600000001</v>
      </c>
      <c r="E83" s="79">
        <f t="shared" si="18"/>
        <v>-3.7732466247430985E-4</v>
      </c>
      <c r="F83" s="79">
        <f t="shared" si="10"/>
        <v>-1.8808246193321443E-3</v>
      </c>
      <c r="G83" s="79">
        <f t="shared" si="11"/>
        <v>-5.0340741459381722E-2</v>
      </c>
      <c r="H83" s="79">
        <f t="shared" si="12"/>
        <v>-4.5389698173472715E-2</v>
      </c>
      <c r="I83" s="80" t="str">
        <f t="shared" si="13"/>
        <v>062024</v>
      </c>
      <c r="J83" s="79">
        <f t="shared" si="14"/>
        <v>1.7638444651246754E-3</v>
      </c>
      <c r="K83" s="79">
        <f t="shared" si="15"/>
        <v>-2.4245260511446265E-3</v>
      </c>
      <c r="L83" s="81">
        <f t="shared" si="16"/>
        <v>94.965925854061837</v>
      </c>
      <c r="M83" s="82">
        <f t="shared" si="17"/>
        <v>95.461030182652678</v>
      </c>
    </row>
    <row r="84" spans="1:13" ht="15" thickBot="1" x14ac:dyDescent="0.35">
      <c r="A84" s="60">
        <v>45448</v>
      </c>
      <c r="B84" s="26" vm="83">
        <v>121407.33</v>
      </c>
      <c r="C84" s="26">
        <v>295393.5</v>
      </c>
      <c r="D84" s="68">
        <v>1.69181369</v>
      </c>
      <c r="E84" s="79">
        <f t="shared" si="18"/>
        <v>-2.5708854601481645E-3</v>
      </c>
      <c r="F84" s="79">
        <f t="shared" si="10"/>
        <v>-3.2407497869904045E-3</v>
      </c>
      <c r="G84" s="79">
        <f t="shared" si="11"/>
        <v>-5.2782206639258811E-2</v>
      </c>
      <c r="H84" s="79">
        <f t="shared" si="12"/>
        <v>-4.8483351305775857E-2</v>
      </c>
      <c r="I84" s="80" t="str">
        <f t="shared" si="13"/>
        <v>062024</v>
      </c>
      <c r="J84" s="79">
        <f t="shared" si="14"/>
        <v>-8.1157563711287128E-4</v>
      </c>
      <c r="K84" s="79">
        <f t="shared" si="15"/>
        <v>-5.6574185558512236E-3</v>
      </c>
      <c r="L84" s="81">
        <f t="shared" si="16"/>
        <v>94.721779336074121</v>
      </c>
      <c r="M84" s="82">
        <f t="shared" si="17"/>
        <v>95.151664869422362</v>
      </c>
    </row>
    <row r="85" spans="1:13" ht="15" thickBot="1" x14ac:dyDescent="0.35">
      <c r="A85" s="60">
        <v>45449</v>
      </c>
      <c r="B85" s="26" vm="84">
        <v>122898.8</v>
      </c>
      <c r="C85" s="26">
        <v>298304.07</v>
      </c>
      <c r="D85" s="68">
        <v>1.7084834600000001</v>
      </c>
      <c r="E85" s="79">
        <f t="shared" si="18"/>
        <v>9.8531948869617914E-3</v>
      </c>
      <c r="F85" s="79">
        <f t="shared" si="10"/>
        <v>1.2284843098023801E-2</v>
      </c>
      <c r="G85" s="79">
        <f t="shared" si="11"/>
        <v>-4.3449085120877529E-2</v>
      </c>
      <c r="H85" s="79">
        <f t="shared" si="12"/>
        <v>-3.6794118571409906E-2</v>
      </c>
      <c r="I85" s="80" t="str">
        <f t="shared" si="13"/>
        <v>062024</v>
      </c>
      <c r="J85" s="79">
        <f t="shared" si="14"/>
        <v>9.0336226369309713E-3</v>
      </c>
      <c r="K85" s="79">
        <f t="shared" si="15"/>
        <v>6.5579240428741414E-3</v>
      </c>
      <c r="L85" s="81">
        <f t="shared" si="16"/>
        <v>95.655091487912244</v>
      </c>
      <c r="M85" s="82">
        <f t="shared" si="17"/>
        <v>96.320588142858952</v>
      </c>
    </row>
    <row r="86" spans="1:13" ht="15" thickBot="1" x14ac:dyDescent="0.35">
      <c r="A86" s="60">
        <v>45450</v>
      </c>
      <c r="B86" s="26" vm="85">
        <v>120767.19</v>
      </c>
      <c r="C86" s="26">
        <v>294666.84999999998</v>
      </c>
      <c r="D86" s="68">
        <v>1.6876519299999999</v>
      </c>
      <c r="E86" s="79">
        <f t="shared" si="18"/>
        <v>-1.2192994832973203E-2</v>
      </c>
      <c r="F86" s="79">
        <f t="shared" si="10"/>
        <v>-1.7344432980631264E-2</v>
      </c>
      <c r="G86" s="79">
        <f t="shared" si="11"/>
        <v>-5.5112305483474455E-2</v>
      </c>
      <c r="H86" s="79">
        <f t="shared" si="12"/>
        <v>-5.3500378428397943E-2</v>
      </c>
      <c r="I86" s="80" t="str">
        <f t="shared" si="13"/>
        <v>062024</v>
      </c>
      <c r="J86" s="79">
        <f t="shared" si="14"/>
        <v>-3.2695191101773657E-3</v>
      </c>
      <c r="K86" s="79">
        <f t="shared" si="15"/>
        <v>-1.0900252411810807E-2</v>
      </c>
      <c r="L86" s="81">
        <f t="shared" si="16"/>
        <v>94.488769451652558</v>
      </c>
      <c r="M86" s="82">
        <f t="shared" si="17"/>
        <v>94.649962157160147</v>
      </c>
    </row>
    <row r="87" spans="1:13" ht="15" thickBot="1" x14ac:dyDescent="0.35">
      <c r="A87" s="60">
        <v>45453</v>
      </c>
      <c r="B87" s="26" vm="86">
        <v>120759.51</v>
      </c>
      <c r="C87" s="26">
        <v>294273.25</v>
      </c>
      <c r="D87" s="68">
        <v>1.68539766</v>
      </c>
      <c r="E87" s="79">
        <f t="shared" si="18"/>
        <v>-1.3357434432583748E-3</v>
      </c>
      <c r="F87" s="79">
        <f t="shared" si="10"/>
        <v>-6.3593431295472236E-5</v>
      </c>
      <c r="G87" s="79">
        <f t="shared" si="11"/>
        <v>-5.6374433026040394E-2</v>
      </c>
      <c r="H87" s="79">
        <f t="shared" si="12"/>
        <v>-5.3560569587053464E-2</v>
      </c>
      <c r="I87" s="80" t="str">
        <f t="shared" si="13"/>
        <v>062024</v>
      </c>
      <c r="J87" s="79">
        <f t="shared" si="14"/>
        <v>-4.6008953147217424E-3</v>
      </c>
      <c r="K87" s="79">
        <f t="shared" si="15"/>
        <v>-1.0963152658653441E-2</v>
      </c>
      <c r="L87" s="81">
        <f t="shared" si="16"/>
        <v>94.362556697395959</v>
      </c>
      <c r="M87" s="82">
        <f t="shared" si="17"/>
        <v>94.643943041294591</v>
      </c>
    </row>
    <row r="88" spans="1:13" ht="15" thickBot="1" x14ac:dyDescent="0.35">
      <c r="A88" s="60">
        <v>45454</v>
      </c>
      <c r="B88" s="26" vm="87">
        <v>121635.06</v>
      </c>
      <c r="C88" s="26">
        <v>297320.43</v>
      </c>
      <c r="D88" s="68">
        <v>1.7028498400000001</v>
      </c>
      <c r="E88" s="79">
        <f t="shared" si="18"/>
        <v>1.0354933090390039E-2</v>
      </c>
      <c r="F88" s="79">
        <f t="shared" si="10"/>
        <v>7.2503606548255384E-3</v>
      </c>
      <c r="G88" s="79">
        <f t="shared" si="11"/>
        <v>-4.6603253417643598E-2</v>
      </c>
      <c r="H88" s="79">
        <f t="shared" si="12"/>
        <v>-4.669854237861204E-2</v>
      </c>
      <c r="I88" s="80" t="str">
        <f t="shared" si="13"/>
        <v>062024</v>
      </c>
      <c r="J88" s="79">
        <f t="shared" si="14"/>
        <v>5.7063958125285197E-3</v>
      </c>
      <c r="K88" s="79">
        <f t="shared" si="15"/>
        <v>-3.7922788145170472E-3</v>
      </c>
      <c r="L88" s="81">
        <f t="shared" si="16"/>
        <v>95.339674658235637</v>
      </c>
      <c r="M88" s="82">
        <f t="shared" si="17"/>
        <v>95.330145762138741</v>
      </c>
    </row>
    <row r="89" spans="1:13" ht="15" thickBot="1" x14ac:dyDescent="0.35">
      <c r="A89" s="60">
        <v>45455</v>
      </c>
      <c r="B89" s="26" vm="88">
        <v>119936.02</v>
      </c>
      <c r="C89" s="26">
        <v>294537.57</v>
      </c>
      <c r="D89" s="68">
        <v>1.6869114999999999</v>
      </c>
      <c r="E89" s="79">
        <f t="shared" si="18"/>
        <v>-9.3598035631845544E-3</v>
      </c>
      <c r="F89" s="79">
        <f t="shared" si="10"/>
        <v>-1.3968341035882181E-2</v>
      </c>
      <c r="G89" s="79">
        <f t="shared" si="11"/>
        <v>-5.5526859683433738E-2</v>
      </c>
      <c r="H89" s="79">
        <f t="shared" si="12"/>
        <v>-6.0014582248671178E-2</v>
      </c>
      <c r="I89" s="80" t="str">
        <f t="shared" si="13"/>
        <v>062024</v>
      </c>
      <c r="J89" s="79">
        <f t="shared" si="14"/>
        <v>-3.7068184945150406E-3</v>
      </c>
      <c r="K89" s="79">
        <f t="shared" si="15"/>
        <v>-1.7707648006614951E-2</v>
      </c>
      <c r="L89" s="81">
        <f t="shared" si="16"/>
        <v>94.447314031656632</v>
      </c>
      <c r="M89" s="82">
        <f t="shared" si="17"/>
        <v>93.998541775132836</v>
      </c>
    </row>
    <row r="90" spans="1:13" ht="15" thickBot="1" x14ac:dyDescent="0.35">
      <c r="A90" s="60">
        <v>45456</v>
      </c>
      <c r="B90" s="26" vm="89">
        <v>119567.53</v>
      </c>
      <c r="C90" s="26">
        <v>294489.17</v>
      </c>
      <c r="D90" s="68">
        <v>1.6866342999999999</v>
      </c>
      <c r="E90" s="79">
        <f t="shared" si="18"/>
        <v>-1.6432397313081992E-4</v>
      </c>
      <c r="F90" s="79">
        <f t="shared" si="10"/>
        <v>-3.0723880949192761E-3</v>
      </c>
      <c r="G90" s="79">
        <f t="shared" si="11"/>
        <v>-5.5682059262365802E-2</v>
      </c>
      <c r="H90" s="79">
        <f t="shared" si="12"/>
        <v>-6.2902582255568107E-2</v>
      </c>
      <c r="I90" s="80" t="str">
        <f t="shared" si="13"/>
        <v>062024</v>
      </c>
      <c r="J90" s="79">
        <f t="shared" si="14"/>
        <v>-3.8705333485031801E-3</v>
      </c>
      <c r="K90" s="79">
        <f t="shared" si="15"/>
        <v>-2.0725631334609695E-2</v>
      </c>
      <c r="L90" s="81">
        <f t="shared" si="16"/>
        <v>94.431794073763413</v>
      </c>
      <c r="M90" s="82">
        <f t="shared" si="17"/>
        <v>93.709741774443145</v>
      </c>
    </row>
    <row r="91" spans="1:13" ht="15" thickBot="1" x14ac:dyDescent="0.35">
      <c r="A91" s="60">
        <v>45457</v>
      </c>
      <c r="B91" s="26" vm="90">
        <v>119662.38</v>
      </c>
      <c r="C91" s="26">
        <v>273207.69</v>
      </c>
      <c r="D91" s="68">
        <v>1.69026181</v>
      </c>
      <c r="E91" s="79">
        <f t="shared" si="18"/>
        <v>2.1507389005430699E-3</v>
      </c>
      <c r="F91" s="79">
        <f t="shared" si="10"/>
        <v>7.9327556569919189E-4</v>
      </c>
      <c r="G91" s="79">
        <f t="shared" si="11"/>
        <v>-5.3651077932740709E-2</v>
      </c>
      <c r="H91" s="79">
        <f t="shared" si="12"/>
        <v>-6.2159205771391668E-2</v>
      </c>
      <c r="I91" s="80" t="str">
        <f t="shared" si="13"/>
        <v>062024</v>
      </c>
      <c r="J91" s="79">
        <f t="shared" si="14"/>
        <v>-1.7281189545985676E-3</v>
      </c>
      <c r="K91" s="79">
        <f t="shared" si="15"/>
        <v>-1.9948796905831956E-2</v>
      </c>
      <c r="L91" s="81">
        <f t="shared" si="16"/>
        <v>94.634892206725922</v>
      </c>
      <c r="M91" s="82">
        <f t="shared" si="17"/>
        <v>93.784079422860799</v>
      </c>
    </row>
    <row r="92" spans="1:13" ht="15" thickBot="1" x14ac:dyDescent="0.35">
      <c r="A92" s="60">
        <v>45460</v>
      </c>
      <c r="B92" s="26" vm="91">
        <v>119137.86</v>
      </c>
      <c r="C92" s="26">
        <v>272206.13</v>
      </c>
      <c r="D92" s="68">
        <v>1.68406543</v>
      </c>
      <c r="E92" s="79">
        <f t="shared" si="18"/>
        <v>-3.6659291260919824E-3</v>
      </c>
      <c r="F92" s="79">
        <f t="shared" si="10"/>
        <v>-4.3833325060056438E-3</v>
      </c>
      <c r="G92" s="79">
        <f t="shared" si="11"/>
        <v>-5.7120326009592937E-2</v>
      </c>
      <c r="H92" s="79">
        <f t="shared" si="12"/>
        <v>-6.6270073810192121E-2</v>
      </c>
      <c r="I92" s="80" t="str">
        <f t="shared" si="13"/>
        <v>062024</v>
      </c>
      <c r="J92" s="79">
        <f t="shared" si="14"/>
        <v>-5.3877129190815776E-3</v>
      </c>
      <c r="K92" s="79">
        <f t="shared" si="15"/>
        <v>-2.4244687201904536E-2</v>
      </c>
      <c r="L92" s="81">
        <f t="shared" si="16"/>
        <v>94.28796739904071</v>
      </c>
      <c r="M92" s="82">
        <f t="shared" si="17"/>
        <v>93.37299261898076</v>
      </c>
    </row>
    <row r="93" spans="1:13" ht="15" thickBot="1" x14ac:dyDescent="0.35">
      <c r="A93" s="60">
        <v>45461</v>
      </c>
      <c r="B93" s="26" vm="92">
        <v>119630.44</v>
      </c>
      <c r="C93" s="26">
        <v>271821.03000000003</v>
      </c>
      <c r="D93" s="68">
        <v>1.6816829200000001</v>
      </c>
      <c r="E93" s="79">
        <f t="shared" si="18"/>
        <v>-1.4147371934354336E-3</v>
      </c>
      <c r="F93" s="79">
        <f t="shared" si="10"/>
        <v>4.1345379210269151E-3</v>
      </c>
      <c r="G93" s="79">
        <f t="shared" si="11"/>
        <v>-5.8454252953321406E-2</v>
      </c>
      <c r="H93" s="79">
        <f t="shared" si="12"/>
        <v>-6.2409532022362657E-2</v>
      </c>
      <c r="I93" s="80" t="str">
        <f t="shared" si="13"/>
        <v>062024</v>
      </c>
      <c r="J93" s="79">
        <f t="shared" si="14"/>
        <v>-6.7948279146627932E-3</v>
      </c>
      <c r="K93" s="79">
        <f t="shared" si="15"/>
        <v>-2.0210389859497302E-2</v>
      </c>
      <c r="L93" s="81">
        <f t="shared" si="16"/>
        <v>94.154574704667866</v>
      </c>
      <c r="M93" s="82">
        <f t="shared" si="17"/>
        <v>93.759046797763702</v>
      </c>
    </row>
    <row r="94" spans="1:13" ht="15" thickBot="1" x14ac:dyDescent="0.35">
      <c r="A94" s="60">
        <v>45462</v>
      </c>
      <c r="B94" s="26" vm="93">
        <v>120261.34</v>
      </c>
      <c r="C94" s="26">
        <v>272710.19</v>
      </c>
      <c r="D94" s="68">
        <v>1.6871839099999999</v>
      </c>
      <c r="E94" s="79">
        <f t="shared" si="18"/>
        <v>3.271122002000082E-3</v>
      </c>
      <c r="F94" s="79">
        <f t="shared" si="10"/>
        <v>5.2737413654919685E-3</v>
      </c>
      <c r="G94" s="79">
        <f t="shared" si="11"/>
        <v>-5.537434194426738E-2</v>
      </c>
      <c r="H94" s="79">
        <f t="shared" si="12"/>
        <v>-5.7464922387498008E-2</v>
      </c>
      <c r="I94" s="80" t="str">
        <f t="shared" si="13"/>
        <v>062024</v>
      </c>
      <c r="J94" s="79">
        <f t="shared" si="14"/>
        <v>-3.5459326237541333E-3</v>
      </c>
      <c r="K94" s="79">
        <f t="shared" si="15"/>
        <v>-1.5043232863020117E-2</v>
      </c>
      <c r="L94" s="81">
        <f t="shared" si="16"/>
        <v>94.462565805573263</v>
      </c>
      <c r="M94" s="82">
        <f t="shared" si="17"/>
        <v>94.253507761250162</v>
      </c>
    </row>
    <row r="95" spans="1:13" ht="15" thickBot="1" x14ac:dyDescent="0.35">
      <c r="A95" s="60">
        <v>45463</v>
      </c>
      <c r="B95" s="26" vm="94">
        <v>120445.91</v>
      </c>
      <c r="C95" s="26">
        <v>271847.57</v>
      </c>
      <c r="D95" s="68">
        <v>1.6818471100000001</v>
      </c>
      <c r="E95" s="79">
        <f t="shared" si="18"/>
        <v>-3.1631406442228505E-3</v>
      </c>
      <c r="F95" s="79">
        <f t="shared" si="10"/>
        <v>1.5347409233923415E-3</v>
      </c>
      <c r="G95" s="79">
        <f t="shared" si="11"/>
        <v>-5.8362325756839195E-2</v>
      </c>
      <c r="H95" s="79">
        <f t="shared" si="12"/>
        <v>-5.6018375232153361E-2</v>
      </c>
      <c r="I95" s="80" t="str">
        <f t="shared" si="13"/>
        <v>062024</v>
      </c>
      <c r="J95" s="79">
        <f t="shared" si="14"/>
        <v>-6.6978569843730851E-3</v>
      </c>
      <c r="K95" s="79">
        <f t="shared" si="15"/>
        <v>-1.3531579404722827E-2</v>
      </c>
      <c r="L95" s="81">
        <f t="shared" si="16"/>
        <v>94.163767424316077</v>
      </c>
      <c r="M95" s="82">
        <f t="shared" si="17"/>
        <v>94.398162476784634</v>
      </c>
    </row>
    <row r="96" spans="1:13" ht="15" thickBot="1" x14ac:dyDescent="0.35">
      <c r="A96" s="60">
        <v>45464</v>
      </c>
      <c r="B96" s="26" vm="95">
        <v>121341.13</v>
      </c>
      <c r="C96" s="26">
        <v>273411.36</v>
      </c>
      <c r="D96" s="68">
        <v>1.6915218599999999</v>
      </c>
      <c r="E96" s="79">
        <f t="shared" si="18"/>
        <v>5.752455108716692E-3</v>
      </c>
      <c r="F96" s="79">
        <f t="shared" si="10"/>
        <v>7.4325479379084847E-3</v>
      </c>
      <c r="G96" s="79">
        <f t="shared" si="11"/>
        <v>-5.294559730707904E-2</v>
      </c>
      <c r="H96" s="79">
        <f t="shared" si="12"/>
        <v>-4.9002186553561589E-2</v>
      </c>
      <c r="I96" s="80" t="str">
        <f t="shared" si="13"/>
        <v>062024</v>
      </c>
      <c r="J96" s="79">
        <f t="shared" si="14"/>
        <v>-9.8393099728355526E-4</v>
      </c>
      <c r="K96" s="79">
        <f t="shared" si="15"/>
        <v>-6.199605579415568E-3</v>
      </c>
      <c r="L96" s="81">
        <f t="shared" si="16"/>
        <v>94.705440269292097</v>
      </c>
      <c r="M96" s="82">
        <f t="shared" si="17"/>
        <v>95.099781344643816</v>
      </c>
    </row>
    <row r="97" spans="1:13" ht="15" thickBot="1" x14ac:dyDescent="0.35">
      <c r="A97" s="60">
        <v>45467</v>
      </c>
      <c r="B97" s="26" vm="96">
        <v>122636.96</v>
      </c>
      <c r="C97" s="26">
        <v>276199.64</v>
      </c>
      <c r="D97" s="68">
        <v>1.7087721899999999</v>
      </c>
      <c r="E97" s="79">
        <f t="shared" si="18"/>
        <v>1.0198112367285628E-2</v>
      </c>
      <c r="F97" s="79">
        <f t="shared" si="10"/>
        <v>1.0679231353787566E-2</v>
      </c>
      <c r="G97" s="79">
        <f t="shared" si="11"/>
        <v>-4.328743009048408E-2</v>
      </c>
      <c r="H97" s="79">
        <f t="shared" si="12"/>
        <v>-3.8846260886821082E-2</v>
      </c>
      <c r="I97" s="80" t="str">
        <f t="shared" si="13"/>
        <v>062024</v>
      </c>
      <c r="J97" s="79">
        <f t="shared" si="14"/>
        <v>9.2041471311301581E-3</v>
      </c>
      <c r="K97" s="79">
        <f t="shared" si="15"/>
        <v>4.4134187520872281E-3</v>
      </c>
      <c r="L97" s="81">
        <f t="shared" si="16"/>
        <v>95.671256990951591</v>
      </c>
      <c r="M97" s="82">
        <f t="shared" si="17"/>
        <v>96.115373911317874</v>
      </c>
    </row>
    <row r="98" spans="1:13" ht="15" thickBot="1" x14ac:dyDescent="0.35">
      <c r="A98" s="60">
        <v>45468</v>
      </c>
      <c r="B98" s="26" vm="97">
        <v>122331.39</v>
      </c>
      <c r="C98" s="26">
        <v>275104.98</v>
      </c>
      <c r="D98" s="68">
        <v>1.7019998300000001</v>
      </c>
      <c r="E98" s="79">
        <f t="shared" si="18"/>
        <v>-3.9632901563079193E-3</v>
      </c>
      <c r="F98" s="79">
        <f t="shared" si="10"/>
        <v>-2.4916631984355231E-3</v>
      </c>
      <c r="G98" s="79">
        <f t="shared" si="11"/>
        <v>-4.7079159601222553E-2</v>
      </c>
      <c r="H98" s="79">
        <f t="shared" si="12"/>
        <v>-4.1241132286608084E-2</v>
      </c>
      <c r="I98" s="80" t="str">
        <f t="shared" si="13"/>
        <v>062024</v>
      </c>
      <c r="J98" s="79">
        <f t="shared" si="14"/>
        <v>5.2043782691002516E-3</v>
      </c>
      <c r="K98" s="79">
        <f t="shared" si="15"/>
        <v>1.9107588005677911E-3</v>
      </c>
      <c r="L98" s="81">
        <f t="shared" si="16"/>
        <v>95.29208403987775</v>
      </c>
      <c r="M98" s="82">
        <f t="shared" si="17"/>
        <v>95.875886771339168</v>
      </c>
    </row>
    <row r="99" spans="1:13" ht="15" thickBot="1" x14ac:dyDescent="0.35">
      <c r="A99" s="60">
        <v>45469</v>
      </c>
      <c r="B99" s="26" vm="98">
        <v>122641.3</v>
      </c>
      <c r="C99" s="26">
        <v>275115.12</v>
      </c>
      <c r="D99" s="68">
        <v>1.7020625599999999</v>
      </c>
      <c r="E99" s="79">
        <f t="shared" si="18"/>
        <v>3.6856642929183892E-5</v>
      </c>
      <c r="F99" s="79">
        <f t="shared" si="10"/>
        <v>2.5333644945912948E-3</v>
      </c>
      <c r="G99" s="79">
        <f t="shared" si="11"/>
        <v>-4.7044038138068234E-2</v>
      </c>
      <c r="H99" s="79">
        <f t="shared" si="12"/>
        <v>-3.8812246612268453E-2</v>
      </c>
      <c r="I99" s="80" t="str">
        <f t="shared" si="13"/>
        <v>062024</v>
      </c>
      <c r="J99" s="79">
        <f t="shared" si="14"/>
        <v>5.2414267279410343E-3</v>
      </c>
      <c r="K99" s="79">
        <f t="shared" si="15"/>
        <v>4.4489639436622319E-3</v>
      </c>
      <c r="L99" s="81">
        <f t="shared" si="16"/>
        <v>95.29559618619318</v>
      </c>
      <c r="M99" s="82">
        <f t="shared" si="17"/>
        <v>96.118775338773133</v>
      </c>
    </row>
    <row r="100" spans="1:13" ht="15" thickBot="1" x14ac:dyDescent="0.35">
      <c r="A100" s="60">
        <v>45470</v>
      </c>
      <c r="B100" s="26" vm="99">
        <v>124307.83</v>
      </c>
      <c r="C100" s="26">
        <v>276009.78000000003</v>
      </c>
      <c r="D100" s="68">
        <v>1.7075975800000001</v>
      </c>
      <c r="E100" s="79">
        <f t="shared" si="18"/>
        <v>3.2519486240272233E-3</v>
      </c>
      <c r="F100" s="79">
        <f t="shared" si="10"/>
        <v>1.3588652436006488E-2</v>
      </c>
      <c r="G100" s="79">
        <f t="shared" si="11"/>
        <v>-4.3945074309132859E-2</v>
      </c>
      <c r="H100" s="79">
        <f t="shared" si="12"/>
        <v>-2.5751000305736627E-2</v>
      </c>
      <c r="I100" s="80" t="str">
        <f t="shared" si="13"/>
        <v>062024</v>
      </c>
      <c r="J100" s="79">
        <f t="shared" si="14"/>
        <v>8.510420202404223E-3</v>
      </c>
      <c r="K100" s="79">
        <f t="shared" si="15"/>
        <v>1.8098071804399485E-2</v>
      </c>
      <c r="L100" s="81">
        <f t="shared" si="16"/>
        <v>95.605492569086721</v>
      </c>
      <c r="M100" s="82">
        <f t="shared" si="17"/>
        <v>97.424899969426306</v>
      </c>
    </row>
    <row r="101" spans="1:13" ht="15" thickBot="1" x14ac:dyDescent="0.35">
      <c r="A101" s="60">
        <v>45471</v>
      </c>
      <c r="B101" s="26" vm="100">
        <v>123906.55</v>
      </c>
      <c r="C101" s="26">
        <v>275311.09000000003</v>
      </c>
      <c r="D101" s="68">
        <v>1.7032749700000001</v>
      </c>
      <c r="E101" s="79">
        <f t="shared" si="18"/>
        <v>-2.5313985277491957E-3</v>
      </c>
      <c r="F101" s="79">
        <f t="shared" si="10"/>
        <v>-3.2281152361842702E-3</v>
      </c>
      <c r="G101" s="79">
        <f t="shared" si="11"/>
        <v>-4.6365230340474017E-2</v>
      </c>
      <c r="H101" s="79">
        <f t="shared" si="12"/>
        <v>-2.88959883454869E-2</v>
      </c>
      <c r="I101" s="80" t="str">
        <f t="shared" si="13"/>
        <v>062024</v>
      </c>
      <c r="J101" s="79">
        <f t="shared" si="14"/>
        <v>5.9574784094842403E-3</v>
      </c>
      <c r="K101" s="79">
        <f t="shared" si="15"/>
        <v>1.4811533906877949E-2</v>
      </c>
      <c r="L101" s="81">
        <f t="shared" si="16"/>
        <v>95.3634769659526</v>
      </c>
      <c r="M101" s="82">
        <f t="shared" si="17"/>
        <v>97.110401165451279</v>
      </c>
    </row>
    <row r="102" spans="1:13" ht="15" thickBot="1" x14ac:dyDescent="0.35">
      <c r="A102" s="60">
        <v>45474</v>
      </c>
      <c r="B102" s="26" vm="101">
        <v>124718.07</v>
      </c>
      <c r="C102" s="26">
        <v>277433.53000000003</v>
      </c>
      <c r="D102" s="68">
        <v>1.7164059300000001</v>
      </c>
      <c r="E102" s="79">
        <f t="shared" si="18"/>
        <v>7.7092426245188861E-3</v>
      </c>
      <c r="F102" s="79">
        <f t="shared" si="10"/>
        <v>6.5494519861943878E-3</v>
      </c>
      <c r="G102" s="79">
        <f t="shared" si="11"/>
        <v>-3.9013428525991656E-2</v>
      </c>
      <c r="H102" s="79">
        <f t="shared" si="12"/>
        <v>-2.2535789247554838E-2</v>
      </c>
      <c r="I102" s="80" t="str">
        <f t="shared" si="13"/>
        <v>072024</v>
      </c>
      <c r="J102" s="79">
        <f t="shared" si="14"/>
        <v>7.7092426245188861E-3</v>
      </c>
      <c r="K102" s="79">
        <f t="shared" si="15"/>
        <v>6.5494519861943878E-3</v>
      </c>
      <c r="L102" s="81">
        <f t="shared" si="16"/>
        <v>96.098657147400843</v>
      </c>
      <c r="M102" s="82">
        <f t="shared" si="17"/>
        <v>97.746421075244484</v>
      </c>
    </row>
    <row r="103" spans="1:13" ht="15" thickBot="1" x14ac:dyDescent="0.35">
      <c r="A103" s="60">
        <v>45475</v>
      </c>
      <c r="B103" s="26" vm="102">
        <v>124787.08</v>
      </c>
      <c r="C103" s="26">
        <v>278302.17</v>
      </c>
      <c r="D103" s="68">
        <v>1.72177997</v>
      </c>
      <c r="E103" s="79">
        <f t="shared" si="18"/>
        <v>3.1309842887805583E-3</v>
      </c>
      <c r="F103" s="79">
        <f t="shared" si="10"/>
        <v>5.5332799810003941E-4</v>
      </c>
      <c r="G103" s="79">
        <f t="shared" si="11"/>
        <v>-3.6004594668977319E-2</v>
      </c>
      <c r="H103" s="79">
        <f t="shared" si="12"/>
        <v>-2.199493093260485E-2</v>
      </c>
      <c r="I103" s="80" t="str">
        <f t="shared" si="13"/>
        <v>072024</v>
      </c>
      <c r="J103" s="79">
        <f t="shared" si="14"/>
        <v>1.0864364430835272E-2</v>
      </c>
      <c r="K103" s="79">
        <f t="shared" si="15"/>
        <v>7.1064039794506151E-3</v>
      </c>
      <c r="L103" s="81">
        <f t="shared" si="16"/>
        <v>96.399540533102268</v>
      </c>
      <c r="M103" s="82">
        <f t="shared" si="17"/>
        <v>97.800506906739486</v>
      </c>
    </row>
    <row r="104" spans="1:13" ht="15" thickBot="1" x14ac:dyDescent="0.35">
      <c r="A104" s="60">
        <v>45476</v>
      </c>
      <c r="B104" s="26" vm="103">
        <v>125661.89</v>
      </c>
      <c r="C104" s="26">
        <v>281583.87</v>
      </c>
      <c r="D104" s="68">
        <v>1.7420829600000001</v>
      </c>
      <c r="E104" s="79">
        <f t="shared" si="18"/>
        <v>1.1791860954219358E-2</v>
      </c>
      <c r="F104" s="79">
        <f t="shared" si="10"/>
        <v>7.0104212711763481E-3</v>
      </c>
      <c r="G104" s="79">
        <f t="shared" si="11"/>
        <v>-2.4637294888807504E-2</v>
      </c>
      <c r="H104" s="79">
        <f t="shared" si="12"/>
        <v>-1.5138703393096309E-2</v>
      </c>
      <c r="I104" s="80" t="str">
        <f t="shared" si="13"/>
        <v>072024</v>
      </c>
      <c r="J104" s="79">
        <f t="shared" si="14"/>
        <v>2.2784336459779064E-2</v>
      </c>
      <c r="K104" s="79">
        <f t="shared" si="15"/>
        <v>1.416664413624602E-2</v>
      </c>
      <c r="L104" s="81">
        <f t="shared" si="16"/>
        <v>97.536270511119241</v>
      </c>
      <c r="M104" s="82">
        <f t="shared" si="17"/>
        <v>98.486129660690324</v>
      </c>
    </row>
    <row r="105" spans="1:13" ht="15" thickBot="1" x14ac:dyDescent="0.35">
      <c r="A105" s="60">
        <v>45477</v>
      </c>
      <c r="B105" s="26" vm="104">
        <v>126163.98</v>
      </c>
      <c r="C105" s="26">
        <v>283496.63</v>
      </c>
      <c r="D105" s="68">
        <v>1.7539166900000001</v>
      </c>
      <c r="E105" s="79">
        <f t="shared" si="18"/>
        <v>6.7928624937585447E-3</v>
      </c>
      <c r="F105" s="79">
        <f t="shared" si="10"/>
        <v>3.9955630143713172E-3</v>
      </c>
      <c r="G105" s="79">
        <f t="shared" si="11"/>
        <v>-1.8011790151446827E-2</v>
      </c>
      <c r="H105" s="79">
        <f t="shared" si="12"/>
        <v>-1.1203628022088075E-2</v>
      </c>
      <c r="I105" s="80" t="str">
        <f t="shared" si="13"/>
        <v>072024</v>
      </c>
      <c r="J105" s="79">
        <f t="shared" si="14"/>
        <v>2.9731969818120429E-2</v>
      </c>
      <c r="K105" s="79">
        <f t="shared" si="15"/>
        <v>1.8218810869965907E-2</v>
      </c>
      <c r="L105" s="81">
        <f t="shared" si="16"/>
        <v>98.198820984855317</v>
      </c>
      <c r="M105" s="82">
        <f t="shared" si="17"/>
        <v>98.879637197791155</v>
      </c>
    </row>
    <row r="106" spans="1:13" ht="15" thickBot="1" x14ac:dyDescent="0.35">
      <c r="A106" s="60">
        <v>45478</v>
      </c>
      <c r="B106" s="26" vm="105">
        <v>126267.05</v>
      </c>
      <c r="C106" s="26">
        <v>283598.53000000003</v>
      </c>
      <c r="D106" s="68">
        <v>1.7545471100000001</v>
      </c>
      <c r="E106" s="79">
        <f t="shared" si="18"/>
        <v>3.5943554422757096E-4</v>
      </c>
      <c r="F106" s="79">
        <f t="shared" si="10"/>
        <v>8.1695266747305872E-4</v>
      </c>
      <c r="G106" s="79">
        <f t="shared" si="11"/>
        <v>-1.7658828684814831E-2</v>
      </c>
      <c r="H106" s="79">
        <f t="shared" si="12"/>
        <v>-1.0395828188413114E-2</v>
      </c>
      <c r="I106" s="80" t="str">
        <f t="shared" si="13"/>
        <v>072024</v>
      </c>
      <c r="J106" s="79">
        <f t="shared" si="14"/>
        <v>3.010209208910064E-2</v>
      </c>
      <c r="K106" s="79">
        <f t="shared" si="15"/>
        <v>1.9050647443577429E-2</v>
      </c>
      <c r="L106" s="81">
        <f t="shared" si="16"/>
        <v>98.234117131518516</v>
      </c>
      <c r="M106" s="82">
        <f t="shared" si="17"/>
        <v>98.960417181158661</v>
      </c>
    </row>
    <row r="107" spans="1:13" ht="15" thickBot="1" x14ac:dyDescent="0.35">
      <c r="A107" s="60">
        <v>45481</v>
      </c>
      <c r="B107" s="26" vm="106">
        <v>126548.34</v>
      </c>
      <c r="C107" s="26">
        <v>281877.37</v>
      </c>
      <c r="D107" s="68">
        <v>1.74389876</v>
      </c>
      <c r="E107" s="79">
        <f t="shared" si="18"/>
        <v>-6.0690020457758731E-3</v>
      </c>
      <c r="F107" s="79">
        <f t="shared" ref="F107:F170" si="19">B107/B106-1</f>
        <v>2.2277387489451073E-3</v>
      </c>
      <c r="G107" s="79">
        <f t="shared" ref="G107:G170" si="20">D107/$D$2-1</f>
        <v>-2.3620659263176469E-2</v>
      </c>
      <c r="H107" s="79">
        <f t="shared" ref="H107:H170" si="21">B107/$B$2-1</f>
        <v>-8.191248628750647E-3</v>
      </c>
      <c r="I107" s="80" t="str">
        <f t="shared" ref="I107:I170" si="22">TEXT(A107,"mmaaaa")</f>
        <v>072024</v>
      </c>
      <c r="J107" s="79">
        <f t="shared" ref="J107:J170" si="23">IF(I107=I106,(1+E107)*(1+J106)-1,E107)</f>
        <v>2.3850400384853865E-2</v>
      </c>
      <c r="K107" s="79">
        <f t="shared" ref="K107:K170" si="24">IF(I107=I106,(1+F107)*(1+K106)-1,F107)</f>
        <v>2.13208260580251E-2</v>
      </c>
      <c r="L107" s="81">
        <f t="shared" ref="L107:L170" si="25">L106*(1+E107)</f>
        <v>97.637934073682345</v>
      </c>
      <c r="M107" s="82">
        <f t="shared" ref="M107:M170" si="26">M106*(1+F107)</f>
        <v>99.1808751371249</v>
      </c>
    </row>
    <row r="108" spans="1:13" ht="15" thickBot="1" x14ac:dyDescent="0.35">
      <c r="A108" s="60">
        <v>45482</v>
      </c>
      <c r="B108" s="26" vm="107">
        <v>127108.22</v>
      </c>
      <c r="C108" s="26">
        <v>281899.46000000002</v>
      </c>
      <c r="D108" s="68">
        <v>1.7440354300000001</v>
      </c>
      <c r="E108" s="79">
        <f t="shared" si="18"/>
        <v>7.8370375124370284E-5</v>
      </c>
      <c r="F108" s="79">
        <f t="shared" si="19"/>
        <v>4.4242382002008807E-3</v>
      </c>
      <c r="G108" s="79">
        <f t="shared" si="20"/>
        <v>-2.3544140047979223E-2</v>
      </c>
      <c r="H108" s="79">
        <f t="shared" si="21"/>
        <v>-3.8032504636404951E-3</v>
      </c>
      <c r="I108" s="80" t="str">
        <f t="shared" si="22"/>
        <v>072024</v>
      </c>
      <c r="J108" s="79">
        <f t="shared" si="23"/>
        <v>2.3930639924803154E-2</v>
      </c>
      <c r="K108" s="79">
        <f t="shared" si="24"/>
        <v>2.583939267133184E-2</v>
      </c>
      <c r="L108" s="81">
        <f t="shared" si="25"/>
        <v>97.645585995202069</v>
      </c>
      <c r="M108" s="82">
        <f t="shared" si="26"/>
        <v>99.619674953635922</v>
      </c>
    </row>
    <row r="109" spans="1:13" ht="15" thickBot="1" x14ac:dyDescent="0.35">
      <c r="A109" s="60">
        <v>45483</v>
      </c>
      <c r="B109" s="26" vm="108">
        <v>127218.24000000001</v>
      </c>
      <c r="C109" s="26">
        <v>281913.2</v>
      </c>
      <c r="D109" s="68">
        <v>1.7441204400000001</v>
      </c>
      <c r="E109" s="79">
        <f t="shared" si="18"/>
        <v>4.8743275817608733E-5</v>
      </c>
      <c r="F109" s="79">
        <f t="shared" si="19"/>
        <v>8.65561645029711E-4</v>
      </c>
      <c r="G109" s="79">
        <f t="shared" si="20"/>
        <v>-2.3496544390673946E-2</v>
      </c>
      <c r="H109" s="79">
        <f t="shared" si="21"/>
        <v>-2.9409807663384191E-3</v>
      </c>
      <c r="I109" s="80" t="str">
        <f t="shared" si="22"/>
        <v>072024</v>
      </c>
      <c r="J109" s="79">
        <f t="shared" si="23"/>
        <v>2.3980549658403127E-2</v>
      </c>
      <c r="K109" s="79">
        <f t="shared" si="24"/>
        <v>2.6727319903588675E-2</v>
      </c>
      <c r="L109" s="81">
        <f t="shared" si="25"/>
        <v>97.650345560932607</v>
      </c>
      <c r="M109" s="82">
        <f t="shared" si="26"/>
        <v>99.705901923366113</v>
      </c>
    </row>
    <row r="110" spans="1:13" ht="15" thickBot="1" x14ac:dyDescent="0.35">
      <c r="A110" s="60">
        <v>45484</v>
      </c>
      <c r="B110" s="26" vm="109">
        <v>128293.61</v>
      </c>
      <c r="C110" s="26">
        <v>282630.11</v>
      </c>
      <c r="D110" s="68">
        <v>1.7485557599999999</v>
      </c>
      <c r="E110" s="79">
        <f t="shared" si="18"/>
        <v>2.5430124538874388E-3</v>
      </c>
      <c r="F110" s="79">
        <f t="shared" si="19"/>
        <v>8.4529545448828181E-3</v>
      </c>
      <c r="G110" s="79">
        <f t="shared" si="20"/>
        <v>-2.1013283941795247E-2</v>
      </c>
      <c r="H110" s="79">
        <f t="shared" si="21"/>
        <v>5.487113801809107E-3</v>
      </c>
      <c r="I110" s="80" t="str">
        <f t="shared" si="22"/>
        <v>072024</v>
      </c>
      <c r="J110" s="79">
        <f t="shared" si="23"/>
        <v>2.6584544948722977E-2</v>
      </c>
      <c r="K110" s="79">
        <f t="shared" si="24"/>
        <v>3.5406199268723126E-2</v>
      </c>
      <c r="L110" s="81">
        <f t="shared" si="25"/>
        <v>97.898671605820468</v>
      </c>
      <c r="M110" s="82">
        <f t="shared" si="26"/>
        <v>100.54871138018088</v>
      </c>
    </row>
    <row r="111" spans="1:13" ht="15" thickBot="1" x14ac:dyDescent="0.35">
      <c r="A111" s="60">
        <v>45485</v>
      </c>
      <c r="B111" s="26" vm="110">
        <v>128896.98</v>
      </c>
      <c r="C111" s="26">
        <v>286423.13</v>
      </c>
      <c r="D111" s="68">
        <v>1.77202215</v>
      </c>
      <c r="E111" s="79">
        <f t="shared" si="18"/>
        <v>1.3420441336111644E-2</v>
      </c>
      <c r="F111" s="79">
        <f t="shared" si="19"/>
        <v>4.7030401592098592E-3</v>
      </c>
      <c r="G111" s="79">
        <f t="shared" si="20"/>
        <v>-7.874850150103585E-3</v>
      </c>
      <c r="H111" s="79">
        <f t="shared" si="21"/>
        <v>1.021596007758685E-2</v>
      </c>
      <c r="I111" s="80" t="str">
        <f t="shared" si="22"/>
        <v>072024</v>
      </c>
      <c r="J111" s="79">
        <f t="shared" si="23"/>
        <v>4.0361762610766183E-2</v>
      </c>
      <c r="K111" s="79">
        <f t="shared" si="24"/>
        <v>4.0275756204978697E-2</v>
      </c>
      <c r="L111" s="81">
        <f t="shared" si="25"/>
        <v>99.212514984989639</v>
      </c>
      <c r="M111" s="82">
        <f t="shared" si="26"/>
        <v>101.02159600775867</v>
      </c>
    </row>
    <row r="112" spans="1:13" ht="15" thickBot="1" x14ac:dyDescent="0.35">
      <c r="A112" s="60">
        <v>45488</v>
      </c>
      <c r="B112" s="26" vm="111">
        <v>129320.96000000001</v>
      </c>
      <c r="C112" s="26">
        <v>286542.52</v>
      </c>
      <c r="D112" s="68">
        <v>1.77276078</v>
      </c>
      <c r="E112" s="79">
        <f t="shared" si="18"/>
        <v>4.1682887541782954E-4</v>
      </c>
      <c r="F112" s="79">
        <f t="shared" si="19"/>
        <v>3.2892935117643241E-3</v>
      </c>
      <c r="G112" s="79">
        <f t="shared" si="20"/>
        <v>-7.4613037396178417E-3</v>
      </c>
      <c r="H112" s="79">
        <f t="shared" si="21"/>
        <v>1.3538856880550787E-2</v>
      </c>
      <c r="I112" s="80" t="str">
        <f t="shared" si="22"/>
        <v>072024</v>
      </c>
      <c r="J112" s="79">
        <f t="shared" si="23"/>
        <v>4.0795415434302873E-2</v>
      </c>
      <c r="K112" s="79">
        <f t="shared" si="24"/>
        <v>4.3697528500309391E-2</v>
      </c>
      <c r="L112" s="81">
        <f t="shared" si="25"/>
        <v>99.25386962603821</v>
      </c>
      <c r="M112" s="82">
        <f t="shared" si="26"/>
        <v>101.35388568805507</v>
      </c>
    </row>
    <row r="113" spans="1:13" ht="15" thickBot="1" x14ac:dyDescent="0.35">
      <c r="A113" s="60">
        <v>45489</v>
      </c>
      <c r="B113" s="26" vm="112">
        <v>129110.38</v>
      </c>
      <c r="C113" s="26">
        <v>285731.11</v>
      </c>
      <c r="D113" s="68">
        <v>1.7677408100000001</v>
      </c>
      <c r="E113" s="79">
        <f t="shared" si="18"/>
        <v>-2.8317244247698659E-3</v>
      </c>
      <c r="F113" s="79">
        <f t="shared" si="19"/>
        <v>-1.6283516608599502E-3</v>
      </c>
      <c r="G113" s="79">
        <f t="shared" si="20"/>
        <v>-1.0271899808347529E-2</v>
      </c>
      <c r="H113" s="79">
        <f t="shared" si="21"/>
        <v>1.1888459199603352E-2</v>
      </c>
      <c r="I113" s="80" t="str">
        <f t="shared" si="22"/>
        <v>072024</v>
      </c>
      <c r="J113" s="79">
        <f t="shared" si="23"/>
        <v>3.7848169635229079E-2</v>
      </c>
      <c r="K113" s="79">
        <f t="shared" si="24"/>
        <v>4.1998021896340498E-2</v>
      </c>
      <c r="L113" s="81">
        <f t="shared" si="25"/>
        <v>98.972810019165237</v>
      </c>
      <c r="M113" s="82">
        <f t="shared" si="26"/>
        <v>101.18884591996031</v>
      </c>
    </row>
    <row r="114" spans="1:13" ht="15" thickBot="1" x14ac:dyDescent="0.35">
      <c r="A114" s="60">
        <v>45490</v>
      </c>
      <c r="B114" s="26" vm="113">
        <v>129450.32</v>
      </c>
      <c r="C114" s="26">
        <v>287207.98</v>
      </c>
      <c r="D114" s="68">
        <v>1.7768778000000001</v>
      </c>
      <c r="E114" s="79">
        <f t="shared" si="18"/>
        <v>5.1687385098044825E-3</v>
      </c>
      <c r="F114" s="79">
        <f t="shared" si="19"/>
        <v>2.6329408990972691E-3</v>
      </c>
      <c r="G114" s="79">
        <f t="shared" si="20"/>
        <v>-5.1562540626512998E-3</v>
      </c>
      <c r="H114" s="79">
        <f t="shared" si="21"/>
        <v>1.4552701709154681E-2</v>
      </c>
      <c r="I114" s="80" t="str">
        <f t="shared" si="22"/>
        <v>072024</v>
      </c>
      <c r="J114" s="79">
        <f t="shared" si="23"/>
        <v>4.3212535436952804E-2</v>
      </c>
      <c r="K114" s="79">
        <f t="shared" si="24"/>
        <v>4.4741541104969862E-2</v>
      </c>
      <c r="L114" s="81">
        <f t="shared" si="25"/>
        <v>99.484374593734856</v>
      </c>
      <c r="M114" s="82">
        <f t="shared" si="26"/>
        <v>101.45527017091543</v>
      </c>
    </row>
    <row r="115" spans="1:13" ht="15" thickBot="1" x14ac:dyDescent="0.35">
      <c r="A115" s="60">
        <v>45491</v>
      </c>
      <c r="B115" s="26" vm="114">
        <v>127652.06</v>
      </c>
      <c r="C115" s="26">
        <v>283863.49</v>
      </c>
      <c r="D115" s="68">
        <v>1.7561863499999999</v>
      </c>
      <c r="E115" s="79">
        <f t="shared" si="18"/>
        <v>-1.1644835677501408E-2</v>
      </c>
      <c r="F115" s="79">
        <f t="shared" si="19"/>
        <v>-1.3891506795811748E-2</v>
      </c>
      <c r="G115" s="79">
        <f t="shared" si="20"/>
        <v>-1.674104600888171E-2</v>
      </c>
      <c r="H115" s="79">
        <f t="shared" si="21"/>
        <v>4.590359586527093E-4</v>
      </c>
      <c r="I115" s="80" t="str">
        <f t="shared" si="22"/>
        <v>072024</v>
      </c>
      <c r="J115" s="79">
        <f t="shared" si="23"/>
        <v>3.1064496885079951E-2</v>
      </c>
      <c r="K115" s="79">
        <f t="shared" si="24"/>
        <v>3.0228506886843309E-2</v>
      </c>
      <c r="L115" s="81">
        <f t="shared" si="25"/>
        <v>98.325895399111815</v>
      </c>
      <c r="M115" s="82">
        <f t="shared" si="26"/>
        <v>100.04590359586524</v>
      </c>
    </row>
    <row r="116" spans="1:13" ht="15" thickBot="1" x14ac:dyDescent="0.35">
      <c r="A116" s="60">
        <v>45492</v>
      </c>
      <c r="B116" s="26" vm="115">
        <v>127616.46</v>
      </c>
      <c r="C116" s="26">
        <v>282390.08</v>
      </c>
      <c r="D116" s="68">
        <v>1.7470707599999999</v>
      </c>
      <c r="E116" s="79">
        <f t="shared" si="18"/>
        <v>-5.1905596464748571E-3</v>
      </c>
      <c r="F116" s="79">
        <f t="shared" si="19"/>
        <v>-2.7888308265444639E-4</v>
      </c>
      <c r="G116" s="79">
        <f t="shared" si="20"/>
        <v>-2.1844710257503008E-2</v>
      </c>
      <c r="H116" s="79">
        <f t="shared" si="21"/>
        <v>1.8002485863499729E-4</v>
      </c>
      <c r="I116" s="80" t="str">
        <f t="shared" si="22"/>
        <v>072024</v>
      </c>
      <c r="J116" s="79">
        <f t="shared" si="23"/>
        <v>2.5712695114635364E-2</v>
      </c>
      <c r="K116" s="79">
        <f t="shared" si="24"/>
        <v>2.9941193585004244E-2</v>
      </c>
      <c r="L116" s="81">
        <f t="shared" si="25"/>
        <v>97.815528974249673</v>
      </c>
      <c r="M116" s="82">
        <f t="shared" si="26"/>
        <v>100.01800248586348</v>
      </c>
    </row>
    <row r="117" spans="1:13" ht="15" thickBot="1" x14ac:dyDescent="0.35">
      <c r="A117" s="60">
        <v>45495</v>
      </c>
      <c r="B117" s="26" vm="116">
        <v>127859.63</v>
      </c>
      <c r="C117" s="26">
        <v>283560.75</v>
      </c>
      <c r="D117" s="68">
        <v>1.7543133799999999</v>
      </c>
      <c r="E117" s="79">
        <f t="shared" si="18"/>
        <v>4.1455790834710182E-3</v>
      </c>
      <c r="F117" s="79">
        <f t="shared" si="19"/>
        <v>1.9054752028069277E-3</v>
      </c>
      <c r="G117" s="79">
        <f t="shared" si="20"/>
        <v>-1.7789690147959947E-2</v>
      </c>
      <c r="H117" s="79">
        <f t="shared" si="21"/>
        <v>2.0858430943460071E-3</v>
      </c>
      <c r="I117" s="80" t="str">
        <f t="shared" si="22"/>
        <v>072024</v>
      </c>
      <c r="J117" s="79">
        <f t="shared" si="23"/>
        <v>2.9964868209153339E-2</v>
      </c>
      <c r="K117" s="79">
        <f t="shared" si="24"/>
        <v>3.1903720989729933E-2</v>
      </c>
      <c r="L117" s="81">
        <f t="shared" si="25"/>
        <v>98.221030985203981</v>
      </c>
      <c r="M117" s="82">
        <f t="shared" si="26"/>
        <v>100.20858430943457</v>
      </c>
    </row>
    <row r="118" spans="1:13" ht="15" thickBot="1" x14ac:dyDescent="0.35">
      <c r="A118" s="60">
        <v>45496</v>
      </c>
      <c r="B118" s="26" vm="117">
        <v>126589.84</v>
      </c>
      <c r="C118" s="26">
        <v>281302.52</v>
      </c>
      <c r="D118" s="68">
        <v>1.7403423200000001</v>
      </c>
      <c r="E118" s="79">
        <f t="shared" si="18"/>
        <v>-7.9638336908767204E-3</v>
      </c>
      <c r="F118" s="79">
        <f t="shared" si="19"/>
        <v>-9.931125250401629E-3</v>
      </c>
      <c r="G118" s="79">
        <f t="shared" si="20"/>
        <v>-2.5611849705086009E-2</v>
      </c>
      <c r="H118" s="79">
        <f t="shared" si="21"/>
        <v>-7.865996925078278E-3</v>
      </c>
      <c r="I118" s="80" t="str">
        <f t="shared" si="22"/>
        <v>072024</v>
      </c>
      <c r="J118" s="79">
        <f t="shared" si="23"/>
        <v>2.1762399291289869E-2</v>
      </c>
      <c r="K118" s="79">
        <f t="shared" si="24"/>
        <v>2.1655755890225503E-2</v>
      </c>
      <c r="L118" s="81">
        <f t="shared" si="25"/>
        <v>97.438815029491366</v>
      </c>
      <c r="M118" s="82">
        <f t="shared" si="26"/>
        <v>99.213400307492151</v>
      </c>
    </row>
    <row r="119" spans="1:13" ht="15" thickBot="1" x14ac:dyDescent="0.35">
      <c r="A119" s="60">
        <v>45497</v>
      </c>
      <c r="B119" s="26" vm="118">
        <v>126422.73</v>
      </c>
      <c r="C119" s="26">
        <v>281851.11</v>
      </c>
      <c r="D119" s="68">
        <v>1.7437362999999999</v>
      </c>
      <c r="E119" s="79">
        <f t="shared" si="18"/>
        <v>1.9501795485843409E-3</v>
      </c>
      <c r="F119" s="79">
        <f t="shared" si="19"/>
        <v>-1.3200901430951983E-3</v>
      </c>
      <c r="G119" s="79">
        <f t="shared" si="20"/>
        <v>-2.3711617861998047E-2</v>
      </c>
      <c r="H119" s="79">
        <f t="shared" si="21"/>
        <v>-9.1757032431670771E-3</v>
      </c>
      <c r="I119" s="80" t="str">
        <f t="shared" si="22"/>
        <v>072024</v>
      </c>
      <c r="J119" s="79">
        <f t="shared" si="23"/>
        <v>2.3755019425900192E-2</v>
      </c>
      <c r="K119" s="79">
        <f t="shared" si="24"/>
        <v>2.0307078197238315E-2</v>
      </c>
      <c r="L119" s="81">
        <f t="shared" si="25"/>
        <v>97.628838213800179</v>
      </c>
      <c r="M119" s="82">
        <f t="shared" si="26"/>
        <v>99.082429675683272</v>
      </c>
    </row>
    <row r="120" spans="1:13" ht="15" thickBot="1" x14ac:dyDescent="0.35">
      <c r="A120" s="60">
        <v>45498</v>
      </c>
      <c r="B120" s="26" vm="119">
        <v>125954.09</v>
      </c>
      <c r="C120" s="26">
        <v>281733.31</v>
      </c>
      <c r="D120" s="68">
        <v>1.7430075</v>
      </c>
      <c r="E120" s="79">
        <f t="shared" si="18"/>
        <v>-4.1795310449166401E-4</v>
      </c>
      <c r="F120" s="79">
        <f t="shared" si="19"/>
        <v>-3.7069283348017956E-3</v>
      </c>
      <c r="G120" s="79">
        <f t="shared" si="20"/>
        <v>-2.411966062219173E-2</v>
      </c>
      <c r="H120" s="79">
        <f t="shared" si="21"/>
        <v>-1.2848617903625126E-2</v>
      </c>
      <c r="I120" s="80" t="str">
        <f t="shared" si="22"/>
        <v>072024</v>
      </c>
      <c r="J120" s="79">
        <f t="shared" si="23"/>
        <v>2.3327137837292122E-2</v>
      </c>
      <c r="K120" s="79">
        <f t="shared" si="24"/>
        <v>1.6524872978870064E-2</v>
      </c>
      <c r="L120" s="81">
        <f t="shared" si="25"/>
        <v>97.588033937780807</v>
      </c>
      <c r="M120" s="82">
        <f t="shared" si="26"/>
        <v>98.715138209637473</v>
      </c>
    </row>
    <row r="121" spans="1:13" ht="15" thickBot="1" x14ac:dyDescent="0.35">
      <c r="A121" s="60">
        <v>45499</v>
      </c>
      <c r="B121" s="26" vm="120">
        <v>127492.49</v>
      </c>
      <c r="C121" s="26">
        <v>285893.55</v>
      </c>
      <c r="D121" s="68">
        <v>1.7687457799999999</v>
      </c>
      <c r="E121" s="79">
        <f t="shared" si="18"/>
        <v>1.4766591652646266E-2</v>
      </c>
      <c r="F121" s="79">
        <f t="shared" si="19"/>
        <v>1.2213974155186325E-2</v>
      </c>
      <c r="G121" s="79">
        <f t="shared" si="20"/>
        <v>-9.7092341487537981E-3</v>
      </c>
      <c r="H121" s="79">
        <f t="shared" si="21"/>
        <v>-7.9157643544358613E-4</v>
      </c>
      <c r="I121" s="80" t="str">
        <f t="shared" si="22"/>
        <v>072024</v>
      </c>
      <c r="J121" s="79">
        <f t="shared" si="23"/>
        <v>3.8438191808806588E-2</v>
      </c>
      <c r="K121" s="79">
        <f t="shared" si="24"/>
        <v>2.8940681505537968E-2</v>
      </c>
      <c r="L121" s="81">
        <f t="shared" si="25"/>
        <v>99.029076585124599</v>
      </c>
      <c r="M121" s="82">
        <f t="shared" si="26"/>
        <v>99.920842356455637</v>
      </c>
    </row>
    <row r="122" spans="1:13" ht="15" thickBot="1" x14ac:dyDescent="0.35">
      <c r="A122" s="60">
        <v>45502</v>
      </c>
      <c r="B122" s="26" vm="121">
        <v>126953.86</v>
      </c>
      <c r="C122" s="26">
        <v>285370.32</v>
      </c>
      <c r="D122" s="68">
        <v>1.7655087</v>
      </c>
      <c r="E122" s="79">
        <f t="shared" si="18"/>
        <v>-1.8301556032546129E-3</v>
      </c>
      <c r="F122" s="79">
        <f t="shared" si="19"/>
        <v>-4.2247978684862852E-3</v>
      </c>
      <c r="G122" s="79">
        <f t="shared" si="20"/>
        <v>-1.1521620342727745E-2</v>
      </c>
      <c r="H122" s="79">
        <f t="shared" si="21"/>
        <v>-5.0130300534926286E-3</v>
      </c>
      <c r="I122" s="80" t="str">
        <f t="shared" si="22"/>
        <v>072024</v>
      </c>
      <c r="J122" s="79">
        <f t="shared" si="23"/>
        <v>3.6537688333434071E-2</v>
      </c>
      <c r="K122" s="79">
        <f t="shared" si="24"/>
        <v>2.4593615107514566E-2</v>
      </c>
      <c r="L122" s="81">
        <f t="shared" si="25"/>
        <v>98.847837965727209</v>
      </c>
      <c r="M122" s="82">
        <f t="shared" si="26"/>
        <v>99.498696994650729</v>
      </c>
    </row>
    <row r="123" spans="1:13" ht="15" thickBot="1" x14ac:dyDescent="0.35">
      <c r="A123" s="60">
        <v>45503</v>
      </c>
      <c r="B123" s="26" vm="122">
        <v>126139.21</v>
      </c>
      <c r="C123" s="26">
        <v>283559.59000000003</v>
      </c>
      <c r="D123" s="68">
        <v>1.7543062</v>
      </c>
      <c r="E123" s="79">
        <f t="shared" si="18"/>
        <v>-6.3451967129927178E-3</v>
      </c>
      <c r="F123" s="79">
        <f t="shared" si="19"/>
        <v>-6.4168982337362568E-3</v>
      </c>
      <c r="G123" s="79">
        <f t="shared" si="20"/>
        <v>-1.7793710108193417E-2</v>
      </c>
      <c r="H123" s="79">
        <f t="shared" si="21"/>
        <v>-1.139776018353289E-2</v>
      </c>
      <c r="I123" s="80" t="str">
        <f t="shared" si="22"/>
        <v>072024</v>
      </c>
      <c r="J123" s="79">
        <f t="shared" si="23"/>
        <v>2.9960652800527621E-2</v>
      </c>
      <c r="K123" s="79">
        <f t="shared" si="24"/>
        <v>1.8018902148433602E-2</v>
      </c>
      <c r="L123" s="81">
        <f t="shared" si="25"/>
        <v>98.220628989180639</v>
      </c>
      <c r="M123" s="82">
        <f t="shared" si="26"/>
        <v>98.860223981646698</v>
      </c>
    </row>
    <row r="124" spans="1:13" ht="15" thickBot="1" x14ac:dyDescent="0.35">
      <c r="A124" s="60">
        <v>45504</v>
      </c>
      <c r="B124" s="26" vm="123">
        <v>127651.81</v>
      </c>
      <c r="C124" s="26">
        <v>286878.14</v>
      </c>
      <c r="D124" s="68">
        <v>1.7748371700000001</v>
      </c>
      <c r="E124" s="79">
        <f t="shared" si="18"/>
        <v>1.1703184997009064E-2</v>
      </c>
      <c r="F124" s="79">
        <f t="shared" si="19"/>
        <v>1.1991513186105918E-2</v>
      </c>
      <c r="G124" s="79">
        <f t="shared" si="20"/>
        <v>-6.2987681923636352E-3</v>
      </c>
      <c r="H124" s="79">
        <f t="shared" si="21"/>
        <v>4.5707661104010811E-4</v>
      </c>
      <c r="I124" s="80" t="str">
        <f t="shared" si="22"/>
        <v>072024</v>
      </c>
      <c r="J124" s="79">
        <f t="shared" si="23"/>
        <v>4.2014472859892349E-2</v>
      </c>
      <c r="K124" s="79">
        <f t="shared" si="24"/>
        <v>3.0226489237251686E-2</v>
      </c>
      <c r="L124" s="81">
        <f t="shared" si="25"/>
        <v>99.370123180763613</v>
      </c>
      <c r="M124" s="82">
        <f t="shared" si="26"/>
        <v>100.045707661104</v>
      </c>
    </row>
    <row r="125" spans="1:13" ht="15" thickBot="1" x14ac:dyDescent="0.35">
      <c r="A125" s="60">
        <v>45505</v>
      </c>
      <c r="B125" s="26" vm="124">
        <v>127395.1</v>
      </c>
      <c r="C125" s="26">
        <v>286386.23</v>
      </c>
      <c r="D125" s="68">
        <v>1.7717938600000001</v>
      </c>
      <c r="E125" s="79">
        <f t="shared" si="18"/>
        <v>-1.7146981432668573E-3</v>
      </c>
      <c r="F125" s="79">
        <f t="shared" si="19"/>
        <v>-2.0110173134246789E-3</v>
      </c>
      <c r="G125" s="79">
        <f t="shared" si="20"/>
        <v>-8.002665849506152E-3</v>
      </c>
      <c r="H125" s="79">
        <f t="shared" si="21"/>
        <v>-1.5548598913628364E-3</v>
      </c>
      <c r="I125" s="80" t="str">
        <f t="shared" si="22"/>
        <v>082024</v>
      </c>
      <c r="J125" s="79">
        <f t="shared" si="23"/>
        <v>-1.7146981432668573E-3</v>
      </c>
      <c r="K125" s="79">
        <f t="shared" si="24"/>
        <v>-2.0110173134246789E-3</v>
      </c>
      <c r="L125" s="81">
        <f t="shared" si="25"/>
        <v>99.199733415049366</v>
      </c>
      <c r="M125" s="82">
        <f t="shared" si="26"/>
        <v>99.844514010863705</v>
      </c>
    </row>
    <row r="126" spans="1:13" ht="15" thickBot="1" x14ac:dyDescent="0.35">
      <c r="A126" s="60">
        <v>45506</v>
      </c>
      <c r="B126" s="26" vm="125">
        <v>125854.09</v>
      </c>
      <c r="C126" s="26">
        <v>282249.48</v>
      </c>
      <c r="D126" s="68">
        <v>1.74620091</v>
      </c>
      <c r="E126" s="79">
        <f t="shared" si="18"/>
        <v>-1.4444654413691249E-2</v>
      </c>
      <c r="F126" s="79">
        <f t="shared" si="19"/>
        <v>-1.209630511691584E-2</v>
      </c>
      <c r="G126" s="79">
        <f t="shared" si="20"/>
        <v>-2.233172452061305E-2</v>
      </c>
      <c r="H126" s="79">
        <f t="shared" si="21"/>
        <v>-1.363235694861864E-2</v>
      </c>
      <c r="I126" s="80" t="str">
        <f t="shared" si="22"/>
        <v>082024</v>
      </c>
      <c r="J126" s="79">
        <f t="shared" si="23"/>
        <v>-1.6134584334854818E-2</v>
      </c>
      <c r="K126" s="79">
        <f t="shared" si="24"/>
        <v>-1.4082996551321947E-2</v>
      </c>
      <c r="L126" s="81">
        <f t="shared" si="25"/>
        <v>97.766827547938675</v>
      </c>
      <c r="M126" s="82">
        <f t="shared" si="26"/>
        <v>98.636764305138115</v>
      </c>
    </row>
    <row r="127" spans="1:13" ht="15" thickBot="1" x14ac:dyDescent="0.35">
      <c r="A127" s="60">
        <v>45509</v>
      </c>
      <c r="B127" s="26" vm="126">
        <v>125269.54</v>
      </c>
      <c r="C127" s="26">
        <v>278631.08</v>
      </c>
      <c r="D127" s="68">
        <v>1.7238148499999999</v>
      </c>
      <c r="E127" s="79">
        <f t="shared" si="18"/>
        <v>-1.2819865040615608E-2</v>
      </c>
      <c r="F127" s="79">
        <f t="shared" si="19"/>
        <v>-4.6446643092806772E-3</v>
      </c>
      <c r="G127" s="79">
        <f t="shared" si="20"/>
        <v>-3.4865299866750132E-2</v>
      </c>
      <c r="H127" s="79">
        <f t="shared" si="21"/>
        <v>-1.8213703536128723E-2</v>
      </c>
      <c r="I127" s="80" t="str">
        <f t="shared" si="22"/>
        <v>082024</v>
      </c>
      <c r="J127" s="79">
        <f t="shared" si="23"/>
        <v>-2.8747606181811158E-2</v>
      </c>
      <c r="K127" s="79">
        <f t="shared" si="24"/>
        <v>-1.8662250069153008E-2</v>
      </c>
      <c r="L127" s="81">
        <f t="shared" si="25"/>
        <v>96.513470013324962</v>
      </c>
      <c r="M127" s="82">
        <f t="shared" si="26"/>
        <v>98.178629646387108</v>
      </c>
    </row>
    <row r="128" spans="1:13" ht="15" thickBot="1" x14ac:dyDescent="0.35">
      <c r="A128" s="60">
        <v>45510</v>
      </c>
      <c r="B128" s="26" vm="127">
        <v>126266.7</v>
      </c>
      <c r="C128" s="26">
        <v>279231.3</v>
      </c>
      <c r="D128" s="68">
        <v>1.72752825</v>
      </c>
      <c r="E128" s="79">
        <f t="shared" si="18"/>
        <v>2.1541756645153676E-3</v>
      </c>
      <c r="F128" s="79">
        <f t="shared" si="19"/>
        <v>7.9601154438662114E-3</v>
      </c>
      <c r="G128" s="79">
        <f t="shared" si="20"/>
        <v>-3.2786230182743847E-2</v>
      </c>
      <c r="H128" s="79">
        <f t="shared" si="21"/>
        <v>-1.0398571275070601E-2</v>
      </c>
      <c r="I128" s="80" t="str">
        <f t="shared" si="22"/>
        <v>082024</v>
      </c>
      <c r="J128" s="79">
        <f t="shared" si="23"/>
        <v>-2.6655357910945754E-2</v>
      </c>
      <c r="K128" s="79">
        <f t="shared" si="24"/>
        <v>-1.0850688290279575E-2</v>
      </c>
      <c r="L128" s="81">
        <f t="shared" si="25"/>
        <v>96.721376981725598</v>
      </c>
      <c r="M128" s="82">
        <f t="shared" si="26"/>
        <v>98.960142872492938</v>
      </c>
    </row>
    <row r="129" spans="1:13" ht="15" thickBot="1" x14ac:dyDescent="0.35">
      <c r="A129" s="60">
        <v>45511</v>
      </c>
      <c r="B129" s="26" vm="128">
        <v>127513.88</v>
      </c>
      <c r="C129" s="26">
        <v>281725.74</v>
      </c>
      <c r="D129" s="68">
        <v>1.74296067</v>
      </c>
      <c r="E129" s="79">
        <f t="shared" si="18"/>
        <v>8.9332374159438732E-3</v>
      </c>
      <c r="F129" s="79">
        <f t="shared" si="19"/>
        <v>9.8773469172790396E-3</v>
      </c>
      <c r="G129" s="79">
        <f t="shared" si="20"/>
        <v>-2.4145879944996174E-2</v>
      </c>
      <c r="H129" s="79">
        <f t="shared" si="21"/>
        <v>-6.2393465371946011E-4</v>
      </c>
      <c r="I129" s="80" t="str">
        <f t="shared" si="22"/>
        <v>082024</v>
      </c>
      <c r="J129" s="79">
        <f t="shared" si="23"/>
        <v>-1.7960239135627276E-2</v>
      </c>
      <c r="K129" s="79">
        <f t="shared" si="24"/>
        <v>-1.0805173855348293E-3</v>
      </c>
      <c r="L129" s="81">
        <f t="shared" si="25"/>
        <v>97.585412005500359</v>
      </c>
      <c r="M129" s="82">
        <f t="shared" si="26"/>
        <v>99.937606534628046</v>
      </c>
    </row>
    <row r="130" spans="1:13" ht="15" thickBot="1" x14ac:dyDescent="0.35">
      <c r="A130" s="60">
        <v>45512</v>
      </c>
      <c r="B130" s="26" vm="129">
        <v>128660.88</v>
      </c>
      <c r="C130" s="26">
        <v>285521.69</v>
      </c>
      <c r="D130" s="68">
        <v>1.7664451800000001</v>
      </c>
      <c r="E130" s="79">
        <f t="shared" si="18"/>
        <v>1.3473918490656489E-2</v>
      </c>
      <c r="F130" s="79">
        <f t="shared" si="19"/>
        <v>8.9950992001812669E-3</v>
      </c>
      <c r="G130" s="79">
        <f t="shared" si="20"/>
        <v>-1.0997301072603771E-2</v>
      </c>
      <c r="H130" s="79">
        <f t="shared" si="21"/>
        <v>8.3655521923571285E-3</v>
      </c>
      <c r="I130" s="80" t="str">
        <f t="shared" si="22"/>
        <v>082024</v>
      </c>
      <c r="J130" s="79">
        <f t="shared" si="23"/>
        <v>-4.728315443156883E-3</v>
      </c>
      <c r="K130" s="79">
        <f t="shared" si="24"/>
        <v>7.9048624535760226E-3</v>
      </c>
      <c r="L130" s="81">
        <f t="shared" si="25"/>
        <v>98.900269892739601</v>
      </c>
      <c r="M130" s="82">
        <f t="shared" si="26"/>
        <v>100.83655521923571</v>
      </c>
    </row>
    <row r="131" spans="1:13" ht="15" thickBot="1" x14ac:dyDescent="0.35">
      <c r="A131" s="60">
        <v>45513</v>
      </c>
      <c r="B131" s="26" vm="130">
        <v>130614.59</v>
      </c>
      <c r="C131" s="26">
        <v>289109.08</v>
      </c>
      <c r="D131" s="68">
        <v>1.7886393899999999</v>
      </c>
      <c r="E131" s="79">
        <f t="shared" si="18"/>
        <v>1.2564335565737661E-2</v>
      </c>
      <c r="F131" s="79">
        <f t="shared" si="19"/>
        <v>1.5184957541095612E-2</v>
      </c>
      <c r="G131" s="79">
        <f t="shared" si="20"/>
        <v>1.4288607121402119E-3</v>
      </c>
      <c r="H131" s="79">
        <f t="shared" si="21"/>
        <v>2.367754028830138E-2</v>
      </c>
      <c r="I131" s="80" t="str">
        <f t="shared" si="22"/>
        <v>082024</v>
      </c>
      <c r="J131" s="79">
        <f t="shared" si="23"/>
        <v>7.7766119806923495E-3</v>
      </c>
      <c r="K131" s="79">
        <f t="shared" si="24"/>
        <v>2.3209854995397405E-2</v>
      </c>
      <c r="L131" s="81">
        <f t="shared" si="25"/>
        <v>100.14288607121401</v>
      </c>
      <c r="M131" s="82">
        <f t="shared" si="26"/>
        <v>102.36775402883015</v>
      </c>
    </row>
    <row r="132" spans="1:13" ht="15" thickBot="1" x14ac:dyDescent="0.35">
      <c r="A132" s="60">
        <v>45516</v>
      </c>
      <c r="B132" s="26" vm="131">
        <v>131115.9</v>
      </c>
      <c r="C132" s="26">
        <v>291165.94</v>
      </c>
      <c r="D132" s="68">
        <v>1.8013646299999999</v>
      </c>
      <c r="E132" s="79">
        <f t="shared" ref="E132:E195" si="27">D132/D131-1</f>
        <v>7.1144804655118854E-3</v>
      </c>
      <c r="F132" s="79">
        <f t="shared" si="19"/>
        <v>3.8380857758693043E-3</v>
      </c>
      <c r="G132" s="79">
        <f t="shared" si="20"/>
        <v>8.5535067792765762E-3</v>
      </c>
      <c r="H132" s="79">
        <f t="shared" si="21"/>
        <v>2.7606502494758933E-2</v>
      </c>
      <c r="I132" s="80" t="str">
        <f t="shared" si="22"/>
        <v>082024</v>
      </c>
      <c r="J132" s="79">
        <f t="shared" si="23"/>
        <v>1.4946419000228639E-2</v>
      </c>
      <c r="K132" s="79">
        <f t="shared" si="24"/>
        <v>2.7137022185584447E-2</v>
      </c>
      <c r="L132" s="81">
        <f t="shared" si="25"/>
        <v>100.85535067792765</v>
      </c>
      <c r="M132" s="82">
        <f t="shared" si="26"/>
        <v>102.76065024947589</v>
      </c>
    </row>
    <row r="133" spans="1:13" ht="15" thickBot="1" x14ac:dyDescent="0.35">
      <c r="A133" s="60">
        <v>45517</v>
      </c>
      <c r="B133" s="26" vm="132">
        <v>132397.97</v>
      </c>
      <c r="C133" s="26">
        <v>293235.65000000002</v>
      </c>
      <c r="D133" s="68">
        <v>1.81416936</v>
      </c>
      <c r="E133" s="79">
        <f t="shared" si="27"/>
        <v>7.1083498514123988E-3</v>
      </c>
      <c r="F133" s="79">
        <f t="shared" si="19"/>
        <v>9.7781428491892086E-3</v>
      </c>
      <c r="G133" s="79">
        <f t="shared" si="20"/>
        <v>1.5722657949332364E-2</v>
      </c>
      <c r="H133" s="79">
        <f t="shared" si="21"/>
        <v>3.7654585668908336E-2</v>
      </c>
      <c r="I133" s="80" t="str">
        <f t="shared" si="22"/>
        <v>082024</v>
      </c>
      <c r="J133" s="79">
        <f t="shared" si="23"/>
        <v>2.2161013226920545E-2</v>
      </c>
      <c r="K133" s="79">
        <f t="shared" si="24"/>
        <v>3.7180514714205914E-2</v>
      </c>
      <c r="L133" s="81">
        <f t="shared" si="25"/>
        <v>101.57226579493324</v>
      </c>
      <c r="M133" s="82">
        <f t="shared" si="26"/>
        <v>103.76545856689083</v>
      </c>
    </row>
    <row r="134" spans="1:13" ht="15" thickBot="1" x14ac:dyDescent="0.35">
      <c r="A134" s="60">
        <v>45518</v>
      </c>
      <c r="B134" s="26" vm="133">
        <v>133317.66</v>
      </c>
      <c r="C134" s="26">
        <v>294273.53999999998</v>
      </c>
      <c r="D134" s="68">
        <v>1.8205905</v>
      </c>
      <c r="E134" s="79">
        <f t="shared" si="27"/>
        <v>3.5394380158642047E-3</v>
      </c>
      <c r="F134" s="79">
        <f t="shared" si="19"/>
        <v>6.9464055982126904E-3</v>
      </c>
      <c r="G134" s="79">
        <f t="shared" si="20"/>
        <v>1.9317745338452985E-2</v>
      </c>
      <c r="H134" s="79">
        <f t="shared" si="21"/>
        <v>4.4862555291809825E-2</v>
      </c>
      <c r="I134" s="80" t="str">
        <f t="shared" si="22"/>
        <v>082024</v>
      </c>
      <c r="J134" s="79">
        <f t="shared" si="23"/>
        <v>2.5778888775470188E-2</v>
      </c>
      <c r="K134" s="79">
        <f t="shared" si="24"/>
        <v>4.4385191247973799E-2</v>
      </c>
      <c r="L134" s="81">
        <f t="shared" si="25"/>
        <v>101.9317745338453</v>
      </c>
      <c r="M134" s="82">
        <f t="shared" si="26"/>
        <v>104.48625552918098</v>
      </c>
    </row>
    <row r="135" spans="1:13" ht="15" thickBot="1" x14ac:dyDescent="0.35">
      <c r="A135" s="60">
        <v>45519</v>
      </c>
      <c r="B135" s="26" vm="134">
        <v>134153.42000000001</v>
      </c>
      <c r="C135" s="26">
        <v>295808.62</v>
      </c>
      <c r="D135" s="68">
        <v>1.83008763</v>
      </c>
      <c r="E135" s="79">
        <f t="shared" si="27"/>
        <v>5.2165107969091018E-3</v>
      </c>
      <c r="F135" s="79">
        <f t="shared" si="19"/>
        <v>6.268936913534251E-3</v>
      </c>
      <c r="G135" s="79">
        <f t="shared" si="20"/>
        <v>2.4635027362492012E-2</v>
      </c>
      <c r="H135" s="79">
        <f t="shared" si="21"/>
        <v>5.1412732734248401E-2</v>
      </c>
      <c r="I135" s="80" t="str">
        <f t="shared" si="22"/>
        <v>082024</v>
      </c>
      <c r="J135" s="79">
        <f t="shared" si="23"/>
        <v>3.1129875424008802E-2</v>
      </c>
      <c r="K135" s="79">
        <f t="shared" si="24"/>
        <v>5.0932376125336853E-2</v>
      </c>
      <c r="L135" s="81">
        <f t="shared" si="25"/>
        <v>102.46350273624921</v>
      </c>
      <c r="M135" s="82">
        <f t="shared" si="26"/>
        <v>105.14127327342483</v>
      </c>
    </row>
    <row r="136" spans="1:13" ht="15" thickBot="1" x14ac:dyDescent="0.35">
      <c r="A136" s="60">
        <v>45520</v>
      </c>
      <c r="B136" s="26" vm="135">
        <v>133953.25</v>
      </c>
      <c r="C136" s="26">
        <v>296136.51</v>
      </c>
      <c r="D136" s="68">
        <v>1.83211619</v>
      </c>
      <c r="E136" s="79">
        <f t="shared" si="27"/>
        <v>1.1084496538562583E-3</v>
      </c>
      <c r="F136" s="79">
        <f t="shared" si="19"/>
        <v>-1.4920976297139177E-3</v>
      </c>
      <c r="G136" s="79">
        <f t="shared" si="20"/>
        <v>2.5770783703900957E-2</v>
      </c>
      <c r="H136" s="79">
        <f t="shared" si="21"/>
        <v>4.9843922287884812E-2</v>
      </c>
      <c r="I136" s="80" t="str">
        <f t="shared" si="22"/>
        <v>082024</v>
      </c>
      <c r="J136" s="79">
        <f t="shared" si="23"/>
        <v>3.2272830977503331E-2</v>
      </c>
      <c r="K136" s="79">
        <f t="shared" si="24"/>
        <v>4.9364282417930561E-2</v>
      </c>
      <c r="L136" s="81">
        <f t="shared" si="25"/>
        <v>102.57707837039011</v>
      </c>
      <c r="M136" s="82">
        <f t="shared" si="26"/>
        <v>104.98439222878845</v>
      </c>
    </row>
    <row r="137" spans="1:13" ht="15" thickBot="1" x14ac:dyDescent="0.35">
      <c r="A137" s="60">
        <v>45523</v>
      </c>
      <c r="B137" s="26" vm="136">
        <v>135777.98000000001</v>
      </c>
      <c r="C137" s="26">
        <v>297862.28999999998</v>
      </c>
      <c r="D137" s="68">
        <v>1.84279313</v>
      </c>
      <c r="E137" s="79">
        <f t="shared" si="27"/>
        <v>5.8276544131188324E-3</v>
      </c>
      <c r="F137" s="79">
        <f t="shared" si="19"/>
        <v>1.3622140560232809E-2</v>
      </c>
      <c r="G137" s="79">
        <f t="shared" si="20"/>
        <v>3.1748621338401284E-2</v>
      </c>
      <c r="H137" s="79">
        <f t="shared" si="21"/>
        <v>6.4145043763596421E-2</v>
      </c>
      <c r="I137" s="80" t="str">
        <f t="shared" si="22"/>
        <v>082024</v>
      </c>
      <c r="J137" s="79">
        <f t="shared" si="23"/>
        <v>3.8288560296491969E-2</v>
      </c>
      <c r="K137" s="79">
        <f t="shared" si="24"/>
        <v>6.3658870171915405E-2</v>
      </c>
      <c r="L137" s="81">
        <f t="shared" si="25"/>
        <v>103.17486213384015</v>
      </c>
      <c r="M137" s="82">
        <f t="shared" si="26"/>
        <v>106.41450437635962</v>
      </c>
    </row>
    <row r="138" spans="1:13" ht="15" thickBot="1" x14ac:dyDescent="0.35">
      <c r="A138" s="60">
        <v>45524</v>
      </c>
      <c r="B138" s="26" vm="137">
        <v>136087.41</v>
      </c>
      <c r="C138" s="26">
        <v>298533.75</v>
      </c>
      <c r="D138" s="68">
        <v>1.84694727</v>
      </c>
      <c r="E138" s="79">
        <f t="shared" si="27"/>
        <v>2.2542627994277531E-3</v>
      </c>
      <c r="F138" s="79">
        <f t="shared" si="19"/>
        <v>2.2789409593513277E-3</v>
      </c>
      <c r="G138" s="79">
        <f t="shared" si="20"/>
        <v>3.4074453873845334E-2</v>
      </c>
      <c r="H138" s="79">
        <f t="shared" si="21"/>
        <v>6.6570167490520138E-2</v>
      </c>
      <c r="I138" s="80" t="str">
        <f t="shared" si="22"/>
        <v>082024</v>
      </c>
      <c r="J138" s="79">
        <f t="shared" si="23"/>
        <v>4.062913557303971E-2</v>
      </c>
      <c r="K138" s="79">
        <f t="shared" si="24"/>
        <v>6.6082885937927438E-2</v>
      </c>
      <c r="L138" s="81">
        <f t="shared" si="25"/>
        <v>103.40744538738456</v>
      </c>
      <c r="M138" s="82">
        <f t="shared" si="26"/>
        <v>106.65701674905198</v>
      </c>
    </row>
    <row r="139" spans="1:13" ht="15" thickBot="1" x14ac:dyDescent="0.35">
      <c r="A139" s="60">
        <v>45525</v>
      </c>
      <c r="B139" s="26" vm="138">
        <v>136463.65</v>
      </c>
      <c r="C139" s="26">
        <v>298920.76</v>
      </c>
      <c r="D139" s="68">
        <v>1.8493415900000001</v>
      </c>
      <c r="E139" s="79">
        <f t="shared" si="27"/>
        <v>1.2963661924143555E-3</v>
      </c>
      <c r="F139" s="79">
        <f t="shared" si="19"/>
        <v>2.7646936626979368E-3</v>
      </c>
      <c r="G139" s="79">
        <f t="shared" si="20"/>
        <v>3.5414993036286813E-2</v>
      </c>
      <c r="H139" s="79">
        <f t="shared" si="21"/>
        <v>6.9518907273403929E-2</v>
      </c>
      <c r="I139" s="80" t="str">
        <f t="shared" si="22"/>
        <v>082024</v>
      </c>
      <c r="J139" s="79">
        <f t="shared" si="23"/>
        <v>4.1978172003237946E-2</v>
      </c>
      <c r="K139" s="79">
        <f t="shared" si="24"/>
        <v>6.9030278536590828E-2</v>
      </c>
      <c r="L139" s="81">
        <f t="shared" si="25"/>
        <v>103.5414993036287</v>
      </c>
      <c r="M139" s="82">
        <f t="shared" si="26"/>
        <v>106.95189072734034</v>
      </c>
    </row>
    <row r="140" spans="1:13" ht="15" thickBot="1" x14ac:dyDescent="0.35">
      <c r="A140" s="60">
        <v>45526</v>
      </c>
      <c r="B140" s="26" vm="139">
        <v>135173.39000000001</v>
      </c>
      <c r="C140" s="26">
        <v>297473.65999999997</v>
      </c>
      <c r="D140" s="68">
        <v>1.8403887800000001</v>
      </c>
      <c r="E140" s="79">
        <f t="shared" si="27"/>
        <v>-4.8410796839323256E-3</v>
      </c>
      <c r="F140" s="79">
        <f t="shared" si="19"/>
        <v>-9.4549720749810273E-3</v>
      </c>
      <c r="G140" s="79">
        <f t="shared" si="20"/>
        <v>3.040246654905987E-2</v>
      </c>
      <c r="H140" s="79">
        <f t="shared" si="21"/>
        <v>5.9406635871469771E-2</v>
      </c>
      <c r="I140" s="80" t="str">
        <f t="shared" si="22"/>
        <v>082024</v>
      </c>
      <c r="J140" s="79">
        <f t="shared" si="23"/>
        <v>3.693387264365211E-2</v>
      </c>
      <c r="K140" s="79">
        <f t="shared" si="24"/>
        <v>5.8922627105718162E-2</v>
      </c>
      <c r="L140" s="81">
        <f t="shared" si="25"/>
        <v>103.04024665490601</v>
      </c>
      <c r="M140" s="82">
        <f t="shared" si="26"/>
        <v>105.94066358714691</v>
      </c>
    </row>
    <row r="141" spans="1:13" ht="15" thickBot="1" x14ac:dyDescent="0.35">
      <c r="A141" s="60">
        <v>45527</v>
      </c>
      <c r="B141" s="26" vm="140">
        <v>135608.47</v>
      </c>
      <c r="C141" s="26">
        <v>298798.07</v>
      </c>
      <c r="D141" s="68">
        <v>1.84858254</v>
      </c>
      <c r="E141" s="79">
        <f t="shared" si="27"/>
        <v>4.4521897161315938E-3</v>
      </c>
      <c r="F141" s="79">
        <f t="shared" si="19"/>
        <v>3.218680836516663E-3</v>
      </c>
      <c r="G141" s="79">
        <f t="shared" si="20"/>
        <v>3.4990013814106158E-2</v>
      </c>
      <c r="H141" s="79">
        <f t="shared" si="21"/>
        <v>6.2816527708427827E-2</v>
      </c>
      <c r="I141" s="80" t="str">
        <f t="shared" si="22"/>
        <v>082024</v>
      </c>
      <c r="J141" s="79">
        <f t="shared" si="23"/>
        <v>4.1550498967744653E-2</v>
      </c>
      <c r="K141" s="79">
        <f t="shared" si="24"/>
        <v>6.233096107293723E-2</v>
      </c>
      <c r="L141" s="81">
        <f t="shared" si="25"/>
        <v>103.49900138141065</v>
      </c>
      <c r="M141" s="82">
        <f t="shared" si="26"/>
        <v>106.28165277084273</v>
      </c>
    </row>
    <row r="142" spans="1:13" ht="15" thickBot="1" x14ac:dyDescent="0.35">
      <c r="A142" s="60">
        <v>45530</v>
      </c>
      <c r="B142" s="26" vm="141">
        <v>136888.71</v>
      </c>
      <c r="C142" s="26">
        <v>298539.39</v>
      </c>
      <c r="D142" s="68">
        <v>1.84698216</v>
      </c>
      <c r="E142" s="79">
        <f t="shared" si="27"/>
        <v>-8.6573359066777211E-4</v>
      </c>
      <c r="F142" s="79">
        <f t="shared" si="19"/>
        <v>9.4407082389469377E-3</v>
      </c>
      <c r="G142" s="79">
        <f t="shared" si="20"/>
        <v>3.4093988193141689E-2</v>
      </c>
      <c r="H142" s="79">
        <f t="shared" si="21"/>
        <v>7.2850268458053646E-2</v>
      </c>
      <c r="I142" s="80" t="str">
        <f t="shared" si="22"/>
        <v>082024</v>
      </c>
      <c r="J142" s="79">
        <f t="shared" si="23"/>
        <v>4.0648793714411546E-2</v>
      </c>
      <c r="K142" s="79">
        <f t="shared" si="24"/>
        <v>7.2360117729626916E-2</v>
      </c>
      <c r="L142" s="81">
        <f t="shared" si="25"/>
        <v>103.40939881931419</v>
      </c>
      <c r="M142" s="82">
        <f t="shared" si="26"/>
        <v>107.28502684580532</v>
      </c>
    </row>
    <row r="143" spans="1:13" ht="15" thickBot="1" x14ac:dyDescent="0.35">
      <c r="A143" s="60">
        <v>45531</v>
      </c>
      <c r="B143" s="26" vm="142">
        <v>136775.91</v>
      </c>
      <c r="C143" s="26">
        <v>298679.02</v>
      </c>
      <c r="D143" s="68">
        <v>1.84784601</v>
      </c>
      <c r="E143" s="79">
        <f t="shared" si="27"/>
        <v>4.6770890304648205E-4</v>
      </c>
      <c r="F143" s="79">
        <f t="shared" si="19"/>
        <v>-8.2402705087947226E-4</v>
      </c>
      <c r="G143" s="79">
        <f t="shared" si="20"/>
        <v>3.4577643158006488E-2</v>
      </c>
      <c r="H143" s="79">
        <f t="shared" si="21"/>
        <v>7.1966210815300968E-2</v>
      </c>
      <c r="I143" s="80" t="str">
        <f t="shared" si="22"/>
        <v>082024</v>
      </c>
      <c r="J143" s="79">
        <f t="shared" si="23"/>
        <v>4.1135514420176378E-2</v>
      </c>
      <c r="K143" s="79">
        <f t="shared" si="24"/>
        <v>7.1476463984333494E-2</v>
      </c>
      <c r="L143" s="81">
        <f t="shared" si="25"/>
        <v>103.45776431580067</v>
      </c>
      <c r="M143" s="82">
        <f t="shared" si="26"/>
        <v>107.19662108153004</v>
      </c>
    </row>
    <row r="144" spans="1:13" ht="15" thickBot="1" x14ac:dyDescent="0.35">
      <c r="A144" s="60">
        <v>45532</v>
      </c>
      <c r="B144" s="26" vm="143">
        <v>137343.96</v>
      </c>
      <c r="C144" s="26">
        <v>298841.57</v>
      </c>
      <c r="D144" s="68">
        <v>1.84885166</v>
      </c>
      <c r="E144" s="79">
        <f t="shared" si="27"/>
        <v>5.442282498420159E-4</v>
      </c>
      <c r="F144" s="79">
        <f t="shared" si="19"/>
        <v>4.1531436347232997E-3</v>
      </c>
      <c r="G144" s="79">
        <f t="shared" si="20"/>
        <v>3.5140689538067926E-2</v>
      </c>
      <c r="H144" s="79">
        <f t="shared" si="21"/>
        <v>7.6418240460387032E-2</v>
      </c>
      <c r="I144" s="80" t="str">
        <f t="shared" si="22"/>
        <v>082024</v>
      </c>
      <c r="J144" s="79">
        <f t="shared" si="23"/>
        <v>4.1702129779037644E-2</v>
      </c>
      <c r="K144" s="79">
        <f t="shared" si="24"/>
        <v>7.5926459640485833E-2</v>
      </c>
      <c r="L144" s="81">
        <f t="shared" si="25"/>
        <v>103.51406895380683</v>
      </c>
      <c r="M144" s="82">
        <f t="shared" si="26"/>
        <v>107.64182404603864</v>
      </c>
    </row>
    <row r="145" spans="1:13" ht="15" thickBot="1" x14ac:dyDescent="0.35">
      <c r="A145" s="60">
        <v>45533</v>
      </c>
      <c r="B145" s="26" vm="144">
        <v>136041.35</v>
      </c>
      <c r="C145" s="26">
        <v>297460.8</v>
      </c>
      <c r="D145" s="68">
        <v>1.84030922</v>
      </c>
      <c r="E145" s="79">
        <f t="shared" si="27"/>
        <v>-4.6204031317471639E-3</v>
      </c>
      <c r="F145" s="79">
        <f t="shared" si="19"/>
        <v>-9.4842903903453735E-3</v>
      </c>
      <c r="G145" s="79">
        <f t="shared" si="20"/>
        <v>3.0357922254327319E-2</v>
      </c>
      <c r="H145" s="79">
        <f t="shared" si="21"/>
        <v>6.620917728639597E-2</v>
      </c>
      <c r="I145" s="80" t="str">
        <f t="shared" si="22"/>
        <v>082024</v>
      </c>
      <c r="J145" s="79">
        <f t="shared" si="23"/>
        <v>3.6889045996258973E-2</v>
      </c>
      <c r="K145" s="79">
        <f t="shared" si="24"/>
        <v>6.5722060658599313E-2</v>
      </c>
      <c r="L145" s="81">
        <f t="shared" si="25"/>
        <v>103.03579222543277</v>
      </c>
      <c r="M145" s="82">
        <f t="shared" si="26"/>
        <v>106.62091772863954</v>
      </c>
    </row>
    <row r="146" spans="1:13" ht="15" thickBot="1" x14ac:dyDescent="0.35">
      <c r="A146" s="60">
        <v>45534</v>
      </c>
      <c r="B146" s="26" vm="145">
        <v>136004.01</v>
      </c>
      <c r="C146" s="26">
        <v>298523.7</v>
      </c>
      <c r="D146" s="68">
        <v>1.84688509</v>
      </c>
      <c r="E146" s="79">
        <f t="shared" si="27"/>
        <v>3.5732418924685483E-3</v>
      </c>
      <c r="F146" s="79">
        <f t="shared" si="19"/>
        <v>-2.7447537090741214E-4</v>
      </c>
      <c r="G146" s="79">
        <f t="shared" si="20"/>
        <v>3.403964034636342E-2</v>
      </c>
      <c r="H146" s="79">
        <f t="shared" si="21"/>
        <v>6.5916529126995416E-2</v>
      </c>
      <c r="I146" s="80" t="str">
        <f t="shared" si="22"/>
        <v>082024</v>
      </c>
      <c r="J146" s="79">
        <f t="shared" si="23"/>
        <v>4.0594101373254476E-2</v>
      </c>
      <c r="K146" s="79">
        <f t="shared" si="24"/>
        <v>6.5429546200715727E-2</v>
      </c>
      <c r="L146" s="81">
        <f t="shared" si="25"/>
        <v>103.40396403463637</v>
      </c>
      <c r="M146" s="82">
        <f t="shared" si="26"/>
        <v>106.59165291269949</v>
      </c>
    </row>
    <row r="147" spans="1:13" ht="15" thickBot="1" x14ac:dyDescent="0.35">
      <c r="A147" s="60">
        <v>45537</v>
      </c>
      <c r="B147" s="26" vm="146">
        <v>134906.07</v>
      </c>
      <c r="C147" s="26">
        <v>297850.40000000002</v>
      </c>
      <c r="D147" s="68">
        <v>1.8427195599999999</v>
      </c>
      <c r="E147" s="79">
        <f t="shared" si="27"/>
        <v>-2.2554353936552474E-3</v>
      </c>
      <c r="F147" s="79">
        <f t="shared" si="19"/>
        <v>-8.0728502049314255E-3</v>
      </c>
      <c r="G147" s="79">
        <f t="shared" si="20"/>
        <v>3.1707430743083576E-2</v>
      </c>
      <c r="H147" s="79">
        <f t="shared" si="21"/>
        <v>5.7311544656392766E-2</v>
      </c>
      <c r="I147" s="80" t="str">
        <f t="shared" si="22"/>
        <v>092024</v>
      </c>
      <c r="J147" s="79">
        <f t="shared" si="23"/>
        <v>-2.2554353936552474E-3</v>
      </c>
      <c r="K147" s="79">
        <f t="shared" si="24"/>
        <v>-8.0728502049314255E-3</v>
      </c>
      <c r="L147" s="81">
        <f t="shared" si="25"/>
        <v>103.1707430743084</v>
      </c>
      <c r="M147" s="82">
        <f t="shared" si="26"/>
        <v>105.73115446563922</v>
      </c>
    </row>
    <row r="148" spans="1:13" ht="15" thickBot="1" x14ac:dyDescent="0.35">
      <c r="A148" s="60">
        <v>45538</v>
      </c>
      <c r="B148" s="26" vm="147">
        <v>134353.48000000001</v>
      </c>
      <c r="C148" s="26">
        <v>295337.98</v>
      </c>
      <c r="D148" s="68">
        <v>1.8271759000000001</v>
      </c>
      <c r="E148" s="79">
        <f t="shared" si="27"/>
        <v>-8.4351739339001419E-3</v>
      </c>
      <c r="F148" s="79">
        <f t="shared" si="19"/>
        <v>-4.0961092410445321E-3</v>
      </c>
      <c r="G148" s="79">
        <f t="shared" si="20"/>
        <v>2.3004799115868613E-2</v>
      </c>
      <c r="H148" s="79">
        <f t="shared" si="21"/>
        <v>5.2980681067662738E-2</v>
      </c>
      <c r="I148" s="80" t="str">
        <f t="shared" si="22"/>
        <v>092024</v>
      </c>
      <c r="J148" s="79">
        <f t="shared" si="23"/>
        <v>-1.0671584337713202E-2</v>
      </c>
      <c r="K148" s="79">
        <f t="shared" si="24"/>
        <v>-1.2135892169649942E-2</v>
      </c>
      <c r="L148" s="81">
        <f t="shared" si="25"/>
        <v>102.30047991158689</v>
      </c>
      <c r="M148" s="82">
        <f t="shared" si="26"/>
        <v>105.29806810676621</v>
      </c>
    </row>
    <row r="149" spans="1:13" ht="15" thickBot="1" x14ac:dyDescent="0.35">
      <c r="A149" s="60">
        <v>45539</v>
      </c>
      <c r="B149" s="26" vm="148">
        <v>136110.73000000001</v>
      </c>
      <c r="C149" s="26">
        <v>296963.58</v>
      </c>
      <c r="D149" s="68">
        <v>1.83723305</v>
      </c>
      <c r="E149" s="79">
        <f t="shared" si="27"/>
        <v>5.5042046033990655E-3</v>
      </c>
      <c r="F149" s="79">
        <f t="shared" si="19"/>
        <v>1.3079303937642672E-2</v>
      </c>
      <c r="G149" s="79">
        <f t="shared" si="20"/>
        <v>2.8635626840461503E-2</v>
      </c>
      <c r="H149" s="79">
        <f t="shared" si="21"/>
        <v>6.6752935435812732E-2</v>
      </c>
      <c r="I149" s="80" t="str">
        <f t="shared" si="22"/>
        <v>092024</v>
      </c>
      <c r="J149" s="79">
        <f t="shared" si="23"/>
        <v>-5.2261183179513893E-3</v>
      </c>
      <c r="K149" s="79">
        <f t="shared" si="24"/>
        <v>7.8468274575138608E-4</v>
      </c>
      <c r="L149" s="81">
        <f t="shared" si="25"/>
        <v>102.86356268404619</v>
      </c>
      <c r="M149" s="82">
        <f t="shared" si="26"/>
        <v>106.6752935435812</v>
      </c>
    </row>
    <row r="150" spans="1:13" ht="15" thickBot="1" x14ac:dyDescent="0.35">
      <c r="A150" s="60">
        <v>45540</v>
      </c>
      <c r="B150" s="26" vm="149">
        <v>136502.49</v>
      </c>
      <c r="C150" s="26">
        <v>296527.84000000003</v>
      </c>
      <c r="D150" s="68">
        <v>1.8345372499999999</v>
      </c>
      <c r="E150" s="79">
        <f t="shared" si="27"/>
        <v>-1.4673152107731458E-3</v>
      </c>
      <c r="F150" s="79">
        <f t="shared" si="19"/>
        <v>2.8782447937791833E-3</v>
      </c>
      <c r="G150" s="79">
        <f t="shared" si="20"/>
        <v>2.7126294138855256E-2</v>
      </c>
      <c r="H150" s="79">
        <f t="shared" si="21"/>
        <v>6.9823311518479425E-2</v>
      </c>
      <c r="I150" s="80" t="str">
        <f t="shared" si="22"/>
        <v>092024</v>
      </c>
      <c r="J150" s="79">
        <f t="shared" si="23"/>
        <v>-6.6857651658233097E-3</v>
      </c>
      <c r="K150" s="79">
        <f t="shared" si="24"/>
        <v>3.6651860485583665E-3</v>
      </c>
      <c r="L150" s="81">
        <f t="shared" si="25"/>
        <v>102.71262941388557</v>
      </c>
      <c r="M150" s="82">
        <f t="shared" si="26"/>
        <v>106.98233115184789</v>
      </c>
    </row>
    <row r="151" spans="1:13" ht="15" thickBot="1" x14ac:dyDescent="0.35">
      <c r="A151" s="60">
        <v>45541</v>
      </c>
      <c r="B151" s="26" vm="150">
        <v>134572.45000000001</v>
      </c>
      <c r="C151" s="26">
        <v>293611.13</v>
      </c>
      <c r="D151" s="68">
        <v>1.8164923500000001</v>
      </c>
      <c r="E151" s="79">
        <f t="shared" si="27"/>
        <v>-9.8362134647306254E-3</v>
      </c>
      <c r="F151" s="79">
        <f t="shared" si="19"/>
        <v>-1.4139229255085262E-2</v>
      </c>
      <c r="G151" s="79">
        <f t="shared" si="20"/>
        <v>1.702326065446802E-2</v>
      </c>
      <c r="H151" s="79">
        <f t="shared" si="21"/>
        <v>5.4696834454485144E-2</v>
      </c>
      <c r="I151" s="80" t="str">
        <f t="shared" si="22"/>
        <v>092024</v>
      </c>
      <c r="J151" s="79">
        <f t="shared" si="23"/>
        <v>-1.6456216017207814E-2</v>
      </c>
      <c r="K151" s="79">
        <f t="shared" si="24"/>
        <v>-1.0525866112329973E-2</v>
      </c>
      <c r="L151" s="81">
        <f t="shared" si="25"/>
        <v>101.70232606544681</v>
      </c>
      <c r="M151" s="82">
        <f t="shared" si="26"/>
        <v>105.46968344544847</v>
      </c>
    </row>
    <row r="152" spans="1:13" ht="15" thickBot="1" x14ac:dyDescent="0.35">
      <c r="A152" s="60">
        <v>45544</v>
      </c>
      <c r="B152" s="26" vm="151">
        <v>134737.21</v>
      </c>
      <c r="C152" s="26">
        <v>293955.52</v>
      </c>
      <c r="D152" s="68">
        <v>1.8186230000000001</v>
      </c>
      <c r="E152" s="79">
        <f t="shared" si="27"/>
        <v>1.1729474115318439E-3</v>
      </c>
      <c r="F152" s="79">
        <f t="shared" si="19"/>
        <v>1.2243219173015962E-3</v>
      </c>
      <c r="G152" s="79">
        <f t="shared" si="20"/>
        <v>1.8216175455520345E-2</v>
      </c>
      <c r="H152" s="79">
        <f t="shared" si="21"/>
        <v>5.5988122905016535E-2</v>
      </c>
      <c r="I152" s="80" t="str">
        <f t="shared" si="22"/>
        <v>092024</v>
      </c>
      <c r="J152" s="79">
        <f t="shared" si="23"/>
        <v>-1.5302570881656985E-2</v>
      </c>
      <c r="K152" s="79">
        <f t="shared" si="24"/>
        <v>-9.3144312436083121E-3</v>
      </c>
      <c r="L152" s="81">
        <f t="shared" si="25"/>
        <v>101.82161754555204</v>
      </c>
      <c r="M152" s="82">
        <f t="shared" si="26"/>
        <v>105.59881229050158</v>
      </c>
    </row>
    <row r="153" spans="1:13" ht="15" thickBot="1" x14ac:dyDescent="0.35">
      <c r="A153" s="60">
        <v>45545</v>
      </c>
      <c r="B153" s="26" vm="152">
        <v>134319.57999999999</v>
      </c>
      <c r="C153" s="26">
        <v>293014.40000000002</v>
      </c>
      <c r="D153" s="68">
        <v>1.81280055</v>
      </c>
      <c r="E153" s="79">
        <f t="shared" si="27"/>
        <v>-3.2015706388845988E-3</v>
      </c>
      <c r="F153" s="79">
        <f t="shared" si="19"/>
        <v>-3.0995891929186392E-3</v>
      </c>
      <c r="G153" s="79">
        <f t="shared" si="20"/>
        <v>1.4956284444144652E-2</v>
      </c>
      <c r="H153" s="79">
        <f t="shared" si="21"/>
        <v>5.2714993531409737E-2</v>
      </c>
      <c r="I153" s="80" t="str">
        <f t="shared" si="22"/>
        <v>092024</v>
      </c>
      <c r="J153" s="79">
        <f t="shared" si="23"/>
        <v>-1.8455149258907455E-2</v>
      </c>
      <c r="K153" s="79">
        <f t="shared" si="24"/>
        <v>-1.2385149526106032E-2</v>
      </c>
      <c r="L153" s="81">
        <f t="shared" si="25"/>
        <v>101.49562844441446</v>
      </c>
      <c r="M153" s="82">
        <f t="shared" si="26"/>
        <v>105.2714993531409</v>
      </c>
    </row>
    <row r="154" spans="1:13" ht="15" thickBot="1" x14ac:dyDescent="0.35">
      <c r="A154" s="60">
        <v>45546</v>
      </c>
      <c r="B154" s="26" vm="153">
        <v>134676.75</v>
      </c>
      <c r="C154" s="26">
        <v>293197.05</v>
      </c>
      <c r="D154" s="68">
        <v>1.81393055</v>
      </c>
      <c r="E154" s="79">
        <f t="shared" si="27"/>
        <v>6.2334491237892031E-4</v>
      </c>
      <c r="F154" s="79">
        <f t="shared" si="19"/>
        <v>2.6591059918443793E-3</v>
      </c>
      <c r="G154" s="79">
        <f t="shared" si="20"/>
        <v>1.5588952280339852E-2</v>
      </c>
      <c r="H154" s="79">
        <f t="shared" si="21"/>
        <v>5.5514274278413378E-2</v>
      </c>
      <c r="I154" s="80" t="str">
        <f t="shared" si="22"/>
        <v>092024</v>
      </c>
      <c r="J154" s="79">
        <f t="shared" si="23"/>
        <v>-1.7843308269926306E-2</v>
      </c>
      <c r="K154" s="79">
        <f t="shared" si="24"/>
        <v>-9.7589769595763931E-3</v>
      </c>
      <c r="L154" s="81">
        <f t="shared" si="25"/>
        <v>101.55889522803399</v>
      </c>
      <c r="M154" s="82">
        <f t="shared" si="26"/>
        <v>105.55142742784128</v>
      </c>
    </row>
    <row r="155" spans="1:13" ht="15" thickBot="1" x14ac:dyDescent="0.35">
      <c r="A155" s="60">
        <v>45547</v>
      </c>
      <c r="B155" s="26" vm="154">
        <v>134029.43</v>
      </c>
      <c r="C155" s="26">
        <v>291698.67</v>
      </c>
      <c r="D155" s="68">
        <v>1.8046604799999999</v>
      </c>
      <c r="E155" s="79">
        <f t="shared" si="27"/>
        <v>-5.1104878298676715E-3</v>
      </c>
      <c r="F155" s="79">
        <f t="shared" si="19"/>
        <v>-4.8064717926442624E-3</v>
      </c>
      <c r="G155" s="79">
        <f t="shared" si="20"/>
        <v>1.0398797299563167E-2</v>
      </c>
      <c r="H155" s="79">
        <f t="shared" si="21"/>
        <v>5.0440974692360863E-2</v>
      </c>
      <c r="I155" s="80" t="str">
        <f t="shared" si="22"/>
        <v>092024</v>
      </c>
      <c r="J155" s="79">
        <f t="shared" si="23"/>
        <v>-2.286260809003593E-2</v>
      </c>
      <c r="K155" s="79">
        <f t="shared" si="24"/>
        <v>-1.4518542504739385E-2</v>
      </c>
      <c r="L155" s="81">
        <f t="shared" si="25"/>
        <v>101.03987972995631</v>
      </c>
      <c r="M155" s="82">
        <f t="shared" si="26"/>
        <v>105.04409746923602</v>
      </c>
    </row>
    <row r="156" spans="1:13" ht="15" thickBot="1" x14ac:dyDescent="0.35">
      <c r="A156" s="60">
        <v>45548</v>
      </c>
      <c r="B156" s="26" vm="155">
        <v>134881.95000000001</v>
      </c>
      <c r="C156" s="26">
        <v>294071.15000000002</v>
      </c>
      <c r="D156" s="68">
        <v>1.8193383700000001</v>
      </c>
      <c r="E156" s="79">
        <f t="shared" si="27"/>
        <v>8.1333248900092858E-3</v>
      </c>
      <c r="F156" s="79">
        <f t="shared" si="19"/>
        <v>6.3606925732655473E-3</v>
      </c>
      <c r="G156" s="79">
        <f t="shared" si="20"/>
        <v>1.8616698986475111E-2</v>
      </c>
      <c r="H156" s="79">
        <f t="shared" si="21"/>
        <v>5.7122506798740424E-2</v>
      </c>
      <c r="I156" s="80" t="str">
        <f t="shared" si="22"/>
        <v>092024</v>
      </c>
      <c r="J156" s="79">
        <f t="shared" si="23"/>
        <v>-1.4915232219455898E-2</v>
      </c>
      <c r="K156" s="79">
        <f t="shared" si="24"/>
        <v>-8.2501979169583572E-3</v>
      </c>
      <c r="L156" s="81">
        <f t="shared" si="25"/>
        <v>101.86166989864751</v>
      </c>
      <c r="M156" s="82">
        <f t="shared" si="26"/>
        <v>105.71225067987397</v>
      </c>
    </row>
    <row r="157" spans="1:13" ht="15" thickBot="1" x14ac:dyDescent="0.35">
      <c r="A157" s="60">
        <v>45551</v>
      </c>
      <c r="B157" s="26" vm="156">
        <v>135118.22</v>
      </c>
      <c r="C157" s="26">
        <v>294542.15999999997</v>
      </c>
      <c r="D157" s="68">
        <v>1.8222523799999999</v>
      </c>
      <c r="E157" s="79">
        <f t="shared" si="27"/>
        <v>1.6016866615085057E-3</v>
      </c>
      <c r="F157" s="79">
        <f t="shared" si="19"/>
        <v>1.7516798949006596E-3</v>
      </c>
      <c r="G157" s="79">
        <f t="shared" si="20"/>
        <v>2.0248203766431772E-2</v>
      </c>
      <c r="H157" s="79">
        <f t="shared" si="21"/>
        <v>5.8974247040346706E-2</v>
      </c>
      <c r="I157" s="80" t="str">
        <f t="shared" si="22"/>
        <v>092024</v>
      </c>
      <c r="J157" s="79">
        <f t="shared" si="23"/>
        <v>-1.3337435086446581E-2</v>
      </c>
      <c r="K157" s="79">
        <f t="shared" si="24"/>
        <v>-6.5129697278777376E-3</v>
      </c>
      <c r="L157" s="81">
        <f t="shared" si="25"/>
        <v>102.02482037664315</v>
      </c>
      <c r="M157" s="82">
        <f t="shared" si="26"/>
        <v>105.89742470403461</v>
      </c>
    </row>
    <row r="158" spans="1:13" ht="15" thickBot="1" x14ac:dyDescent="0.35">
      <c r="A158" s="60">
        <v>45552</v>
      </c>
      <c r="B158" s="26" vm="157">
        <v>134960.19</v>
      </c>
      <c r="C158" s="26">
        <v>294222.61</v>
      </c>
      <c r="D158" s="68">
        <v>1.82027541</v>
      </c>
      <c r="E158" s="79">
        <f t="shared" si="27"/>
        <v>-1.0849046058043488E-3</v>
      </c>
      <c r="F158" s="79">
        <f t="shared" si="19"/>
        <v>-1.1695683972153814E-3</v>
      </c>
      <c r="G158" s="79">
        <f t="shared" si="20"/>
        <v>1.9141331791102001E-2</v>
      </c>
      <c r="H158" s="79">
        <f t="shared" si="21"/>
        <v>5.7735704227543261E-2</v>
      </c>
      <c r="I158" s="80" t="str">
        <f t="shared" si="22"/>
        <v>092024</v>
      </c>
      <c r="J158" s="79">
        <f t="shared" si="23"/>
        <v>-1.440786984749598E-2</v>
      </c>
      <c r="K158" s="79">
        <f t="shared" si="24"/>
        <v>-7.6749207615274262E-3</v>
      </c>
      <c r="L158" s="81">
        <f t="shared" si="25"/>
        <v>101.91413317911017</v>
      </c>
      <c r="M158" s="82">
        <f t="shared" si="26"/>
        <v>105.77357042275428</v>
      </c>
    </row>
    <row r="159" spans="1:13" ht="15" thickBot="1" x14ac:dyDescent="0.35">
      <c r="A159" s="60">
        <v>45553</v>
      </c>
      <c r="B159" s="26" vm="158">
        <v>133747.69</v>
      </c>
      <c r="C159" s="26">
        <v>292606.73</v>
      </c>
      <c r="D159" s="68">
        <v>1.8102784000000001</v>
      </c>
      <c r="E159" s="79">
        <f t="shared" si="27"/>
        <v>-5.492031560213162E-3</v>
      </c>
      <c r="F159" s="79">
        <f t="shared" si="19"/>
        <v>-8.9841308018312471E-3</v>
      </c>
      <c r="G159" s="79">
        <f t="shared" si="20"/>
        <v>1.3544175432587569E-2</v>
      </c>
      <c r="H159" s="79">
        <f t="shared" si="21"/>
        <v>4.8232868306995913E-2</v>
      </c>
      <c r="I159" s="80" t="str">
        <f t="shared" si="22"/>
        <v>092024</v>
      </c>
      <c r="J159" s="79">
        <f t="shared" si="23"/>
        <v>-1.9820772931791297E-2</v>
      </c>
      <c r="K159" s="79">
        <f t="shared" si="24"/>
        <v>-1.6590099071343456E-2</v>
      </c>
      <c r="L159" s="81">
        <f t="shared" si="25"/>
        <v>101.35441754325872</v>
      </c>
      <c r="M159" s="82">
        <f t="shared" si="26"/>
        <v>104.82328683069954</v>
      </c>
    </row>
    <row r="160" spans="1:13" ht="15" thickBot="1" x14ac:dyDescent="0.35">
      <c r="A160" s="60">
        <v>45554</v>
      </c>
      <c r="B160" s="26" vm="159">
        <v>133122.67000000001</v>
      </c>
      <c r="C160" s="26">
        <v>292134.73</v>
      </c>
      <c r="D160" s="68">
        <v>1.8073582699999999</v>
      </c>
      <c r="E160" s="79">
        <f t="shared" si="27"/>
        <v>-1.6130833798824185E-3</v>
      </c>
      <c r="F160" s="79">
        <f t="shared" si="19"/>
        <v>-4.6731274386868638E-3</v>
      </c>
      <c r="G160" s="79">
        <f t="shared" si="20"/>
        <v>1.1909244168420541E-2</v>
      </c>
      <c r="H160" s="79">
        <f t="shared" si="21"/>
        <v>4.3334342527977077E-2</v>
      </c>
      <c r="I160" s="80" t="str">
        <f t="shared" si="22"/>
        <v>092024</v>
      </c>
      <c r="J160" s="79">
        <f t="shared" si="23"/>
        <v>-2.1401883752281026E-2</v>
      </c>
      <c r="K160" s="79">
        <f t="shared" si="24"/>
        <v>-2.1185698862849489E-2</v>
      </c>
      <c r="L160" s="81">
        <f t="shared" si="25"/>
        <v>101.19092441684202</v>
      </c>
      <c r="M160" s="82">
        <f t="shared" si="26"/>
        <v>104.33343425279766</v>
      </c>
    </row>
    <row r="161" spans="1:13" ht="15" thickBot="1" x14ac:dyDescent="0.35">
      <c r="A161" s="60">
        <v>45555</v>
      </c>
      <c r="B161" s="26" vm="160">
        <v>131065.44</v>
      </c>
      <c r="C161" s="26">
        <v>289403.99</v>
      </c>
      <c r="D161" s="68">
        <v>1.7904639200000001</v>
      </c>
      <c r="E161" s="79">
        <f t="shared" si="27"/>
        <v>-9.3475379400010938E-3</v>
      </c>
      <c r="F161" s="79">
        <f t="shared" si="19"/>
        <v>-1.5453641367018878E-2</v>
      </c>
      <c r="G161" s="79">
        <f t="shared" si="20"/>
        <v>2.4503841167182738E-3</v>
      </c>
      <c r="H161" s="79">
        <f t="shared" si="21"/>
        <v>2.7211027772655161E-2</v>
      </c>
      <c r="I161" s="80" t="str">
        <f t="shared" si="22"/>
        <v>092024</v>
      </c>
      <c r="J161" s="79">
        <f t="shared" si="23"/>
        <v>-3.0549366771920217E-2</v>
      </c>
      <c r="K161" s="79">
        <f t="shared" si="24"/>
        <v>-3.631194403753224E-2</v>
      </c>
      <c r="L161" s="81">
        <f t="shared" si="25"/>
        <v>100.24503841167181</v>
      </c>
      <c r="M161" s="82">
        <f t="shared" si="26"/>
        <v>102.72110277726549</v>
      </c>
    </row>
    <row r="162" spans="1:13" ht="15" thickBot="1" x14ac:dyDescent="0.35">
      <c r="A162" s="60">
        <v>45558</v>
      </c>
      <c r="B162" s="26" vm="161">
        <v>130568.37</v>
      </c>
      <c r="C162" s="26">
        <v>288654.42</v>
      </c>
      <c r="D162" s="68">
        <v>1.78582653</v>
      </c>
      <c r="E162" s="79">
        <f t="shared" si="27"/>
        <v>-2.5900493990407281E-3</v>
      </c>
      <c r="F162" s="79">
        <f t="shared" si="19"/>
        <v>-3.7925329514783002E-3</v>
      </c>
      <c r="G162" s="79">
        <f t="shared" si="20"/>
        <v>-1.4601189823126859E-4</v>
      </c>
      <c r="H162" s="79">
        <f t="shared" si="21"/>
        <v>2.3315296101705352E-2</v>
      </c>
      <c r="I162" s="80" t="str">
        <f t="shared" si="22"/>
        <v>092024</v>
      </c>
      <c r="J162" s="79">
        <f t="shared" si="23"/>
        <v>-3.3060291801912278E-2</v>
      </c>
      <c r="K162" s="79">
        <f t="shared" si="24"/>
        <v>-3.9966762744716E-2</v>
      </c>
      <c r="L162" s="81">
        <f t="shared" si="25"/>
        <v>99.985398810176846</v>
      </c>
      <c r="M162" s="82">
        <f t="shared" si="26"/>
        <v>102.33152961017052</v>
      </c>
    </row>
    <row r="163" spans="1:13" ht="15" thickBot="1" x14ac:dyDescent="0.35">
      <c r="A163" s="60">
        <v>45559</v>
      </c>
      <c r="B163" s="26" vm="162">
        <v>132155.76</v>
      </c>
      <c r="C163" s="26">
        <v>291520.3</v>
      </c>
      <c r="D163" s="68">
        <v>1.8035569499999999</v>
      </c>
      <c r="E163" s="79">
        <f t="shared" si="27"/>
        <v>9.9284111318471702E-3</v>
      </c>
      <c r="F163" s="79">
        <f t="shared" si="19"/>
        <v>1.2157538613678076E-2</v>
      </c>
      <c r="G163" s="79">
        <f t="shared" si="20"/>
        <v>9.7809495674601177E-3</v>
      </c>
      <c r="H163" s="79">
        <f t="shared" si="21"/>
        <v>3.5756291328029377E-2</v>
      </c>
      <c r="I163" s="80" t="str">
        <f t="shared" si="22"/>
        <v>092024</v>
      </c>
      <c r="J163" s="79">
        <f t="shared" si="23"/>
        <v>-2.3460116839213341E-2</v>
      </c>
      <c r="K163" s="79">
        <f t="shared" si="24"/>
        <v>-2.8295121592370465E-2</v>
      </c>
      <c r="L163" s="81">
        <f t="shared" si="25"/>
        <v>100.97809495674599</v>
      </c>
      <c r="M163" s="82">
        <f t="shared" si="26"/>
        <v>103.57562913280292</v>
      </c>
    </row>
    <row r="164" spans="1:13" ht="15" thickBot="1" x14ac:dyDescent="0.35">
      <c r="A164" s="60">
        <v>45560</v>
      </c>
      <c r="B164" s="26" vm="163">
        <v>131586.45000000001</v>
      </c>
      <c r="C164" s="26">
        <v>289646.65000000002</v>
      </c>
      <c r="D164" s="68">
        <v>1.79196519</v>
      </c>
      <c r="E164" s="79">
        <f t="shared" si="27"/>
        <v>-6.4271660509528372E-3</v>
      </c>
      <c r="F164" s="79">
        <f t="shared" si="19"/>
        <v>-4.3078712573708655E-3</v>
      </c>
      <c r="G164" s="79">
        <f t="shared" si="20"/>
        <v>3.2909197295012405E-3</v>
      </c>
      <c r="H164" s="79">
        <f t="shared" si="21"/>
        <v>3.1294386570976274E-2</v>
      </c>
      <c r="I164" s="80" t="str">
        <f t="shared" si="22"/>
        <v>092024</v>
      </c>
      <c r="J164" s="79">
        <f t="shared" si="23"/>
        <v>-2.9736500823665746E-2</v>
      </c>
      <c r="K164" s="79">
        <f t="shared" si="24"/>
        <v>-3.248110110870972E-2</v>
      </c>
      <c r="L164" s="81">
        <f t="shared" si="25"/>
        <v>100.3290919729501</v>
      </c>
      <c r="M164" s="82">
        <f t="shared" si="26"/>
        <v>103.12943865709761</v>
      </c>
    </row>
    <row r="165" spans="1:13" ht="15" thickBot="1" x14ac:dyDescent="0.35">
      <c r="A165" s="60">
        <v>45561</v>
      </c>
      <c r="B165" s="26" vm="164">
        <v>133009.78</v>
      </c>
      <c r="C165" s="26">
        <v>291121.76</v>
      </c>
      <c r="D165" s="68">
        <v>1.8010913</v>
      </c>
      <c r="E165" s="79">
        <f t="shared" si="27"/>
        <v>5.092794241164933E-3</v>
      </c>
      <c r="F165" s="79">
        <f t="shared" si="19"/>
        <v>1.0816691232265807E-2</v>
      </c>
      <c r="G165" s="79">
        <f t="shared" si="20"/>
        <v>8.4004739477125945E-3</v>
      </c>
      <c r="H165" s="79">
        <f t="shared" si="21"/>
        <v>4.2449579520083658E-2</v>
      </c>
      <c r="I165" s="80" t="str">
        <f t="shared" si="22"/>
        <v>092024</v>
      </c>
      <c r="J165" s="79">
        <f t="shared" si="23"/>
        <v>-2.4795148462647965E-2</v>
      </c>
      <c r="K165" s="79">
        <f t="shared" si="24"/>
        <v>-2.2015747918020856E-2</v>
      </c>
      <c r="L165" s="81">
        <f t="shared" si="25"/>
        <v>100.84004739477125</v>
      </c>
      <c r="M165" s="82">
        <f t="shared" si="26"/>
        <v>104.24495795200833</v>
      </c>
    </row>
    <row r="166" spans="1:13" ht="15" thickBot="1" x14ac:dyDescent="0.35">
      <c r="A166" s="60">
        <v>45562</v>
      </c>
      <c r="B166" s="26" vm="165">
        <v>132730.35999999999</v>
      </c>
      <c r="C166" s="26">
        <v>291906.34000000003</v>
      </c>
      <c r="D166" s="68">
        <v>1.80594528</v>
      </c>
      <c r="E166" s="79">
        <f t="shared" si="27"/>
        <v>2.6950216238343927E-3</v>
      </c>
      <c r="F166" s="79">
        <f t="shared" si="19"/>
        <v>-2.1007477795994545E-3</v>
      </c>
      <c r="G166" s="79">
        <f t="shared" si="20"/>
        <v>1.1118135030486531E-2</v>
      </c>
      <c r="H166" s="79">
        <f t="shared" si="21"/>
        <v>4.0259655880562351E-2</v>
      </c>
      <c r="I166" s="80" t="str">
        <f t="shared" si="22"/>
        <v>092024</v>
      </c>
      <c r="J166" s="79">
        <f t="shared" si="23"/>
        <v>-2.2166950300086641E-2</v>
      </c>
      <c r="K166" s="79">
        <f t="shared" si="24"/>
        <v>-2.4070246164065279E-2</v>
      </c>
      <c r="L166" s="81">
        <f t="shared" si="25"/>
        <v>101.11181350304864</v>
      </c>
      <c r="M166" s="82">
        <f t="shared" si="26"/>
        <v>104.02596558805621</v>
      </c>
    </row>
    <row r="167" spans="1:13" ht="15" thickBot="1" x14ac:dyDescent="0.35">
      <c r="A167" s="60">
        <v>45565</v>
      </c>
      <c r="B167" s="26" vm="166">
        <v>131816.44</v>
      </c>
      <c r="C167" s="26">
        <v>290421.39</v>
      </c>
      <c r="D167" s="68">
        <v>1.7967583</v>
      </c>
      <c r="E167" s="79">
        <f t="shared" si="27"/>
        <v>-5.0870755065181017E-3</v>
      </c>
      <c r="F167" s="79">
        <f t="shared" si="19"/>
        <v>-6.8855384706255629E-3</v>
      </c>
      <c r="G167" s="79">
        <f t="shared" si="20"/>
        <v>5.9745007315767928E-3</v>
      </c>
      <c r="H167" s="79">
        <f t="shared" si="21"/>
        <v>3.3096908000556979E-2</v>
      </c>
      <c r="I167" s="80" t="str">
        <f t="shared" si="22"/>
        <v>092024</v>
      </c>
      <c r="J167" s="79">
        <f t="shared" si="23"/>
        <v>-2.7141260856679006E-2</v>
      </c>
      <c r="K167" s="79">
        <f t="shared" si="24"/>
        <v>-3.0790048028730754E-2</v>
      </c>
      <c r="L167" s="81">
        <f t="shared" si="25"/>
        <v>100.59745007315765</v>
      </c>
      <c r="M167" s="82">
        <f t="shared" si="26"/>
        <v>103.30969080005568</v>
      </c>
    </row>
    <row r="168" spans="1:13" ht="15" thickBot="1" x14ac:dyDescent="0.35">
      <c r="A168" s="60">
        <v>45566</v>
      </c>
      <c r="B168" s="26" vm="167">
        <v>132495.16</v>
      </c>
      <c r="C168" s="26">
        <v>290917.34000000003</v>
      </c>
      <c r="D168" s="68">
        <v>1.7998266000000001</v>
      </c>
      <c r="E168" s="79">
        <f t="shared" si="27"/>
        <v>1.7076865597336344E-3</v>
      </c>
      <c r="F168" s="79">
        <f t="shared" si="19"/>
        <v>5.1489783823626123E-3</v>
      </c>
      <c r="G168" s="79">
        <f t="shared" si="20"/>
        <v>7.6923898659109202E-3</v>
      </c>
      <c r="H168" s="79">
        <f t="shared" si="21"/>
        <v>3.8416301646737594E-2</v>
      </c>
      <c r="I168" s="80" t="str">
        <f t="shared" si="22"/>
        <v>102024</v>
      </c>
      <c r="J168" s="79">
        <f t="shared" si="23"/>
        <v>1.7076865597336344E-3</v>
      </c>
      <c r="K168" s="79">
        <f t="shared" si="24"/>
        <v>5.1489783823626123E-3</v>
      </c>
      <c r="L168" s="81">
        <f t="shared" si="25"/>
        <v>100.76923898659105</v>
      </c>
      <c r="M168" s="82">
        <f t="shared" si="26"/>
        <v>103.84163016467373</v>
      </c>
    </row>
    <row r="169" spans="1:13" ht="15" thickBot="1" x14ac:dyDescent="0.35">
      <c r="A169" s="60">
        <v>45567</v>
      </c>
      <c r="B169" s="26" vm="168">
        <v>133514.94</v>
      </c>
      <c r="C169" s="26">
        <v>290435.55</v>
      </c>
      <c r="D169" s="68">
        <v>1.7968459000000001</v>
      </c>
      <c r="E169" s="79">
        <f t="shared" si="27"/>
        <v>-1.6561039824614099E-3</v>
      </c>
      <c r="F169" s="79">
        <f t="shared" si="19"/>
        <v>7.6967339788109879E-3</v>
      </c>
      <c r="G169" s="79">
        <f t="shared" si="20"/>
        <v>6.0235464859579313E-3</v>
      </c>
      <c r="H169" s="79">
        <f t="shared" si="21"/>
        <v>4.6408715679773227E-2</v>
      </c>
      <c r="I169" s="80" t="str">
        <f t="shared" si="22"/>
        <v>102024</v>
      </c>
      <c r="J169" s="79">
        <f t="shared" si="23"/>
        <v>4.8754470759915236E-5</v>
      </c>
      <c r="K169" s="79">
        <f t="shared" si="24"/>
        <v>1.2885342678045308E-2</v>
      </c>
      <c r="L169" s="81">
        <f t="shared" si="25"/>
        <v>100.60235464859575</v>
      </c>
      <c r="M169" s="82">
        <f t="shared" si="26"/>
        <v>104.6408715679773</v>
      </c>
    </row>
    <row r="170" spans="1:13" ht="15" thickBot="1" x14ac:dyDescent="0.35">
      <c r="A170" s="60">
        <v>45568</v>
      </c>
      <c r="B170" s="26" vm="169">
        <v>131671.51</v>
      </c>
      <c r="C170" s="26">
        <v>288067.09999999998</v>
      </c>
      <c r="D170" s="68">
        <v>1.7821929400000001</v>
      </c>
      <c r="E170" s="79">
        <f t="shared" si="27"/>
        <v>-8.1548228481919116E-3</v>
      </c>
      <c r="F170" s="79">
        <f t="shared" si="19"/>
        <v>-1.3806919285586972E-2</v>
      </c>
      <c r="G170" s="79">
        <f t="shared" si="20"/>
        <v>-2.1803973167447976E-3</v>
      </c>
      <c r="H170" s="79">
        <f t="shared" si="21"/>
        <v>3.1961035002647797E-2</v>
      </c>
      <c r="I170" s="80" t="str">
        <f t="shared" si="22"/>
        <v>102024</v>
      </c>
      <c r="J170" s="79">
        <f t="shared" si="23"/>
        <v>-8.1064659615041057E-3</v>
      </c>
      <c r="K170" s="79">
        <f t="shared" si="24"/>
        <v>-1.0994834938645726E-3</v>
      </c>
      <c r="L170" s="81">
        <f t="shared" si="25"/>
        <v>99.781960268325477</v>
      </c>
      <c r="M170" s="82">
        <f t="shared" si="26"/>
        <v>103.19610350026477</v>
      </c>
    </row>
    <row r="171" spans="1:13" ht="15" thickBot="1" x14ac:dyDescent="0.35">
      <c r="A171" s="60">
        <v>45569</v>
      </c>
      <c r="B171" s="26" vm="170">
        <v>131791.54999999999</v>
      </c>
      <c r="C171" s="26">
        <v>288220.88</v>
      </c>
      <c r="D171" s="68">
        <v>1.78314434</v>
      </c>
      <c r="E171" s="79">
        <f t="shared" si="27"/>
        <v>5.3383670120465965E-4</v>
      </c>
      <c r="F171" s="79">
        <f t="shared" ref="F171:F234" si="28">B171/B170-1</f>
        <v>9.1166266719344691E-4</v>
      </c>
      <c r="G171" s="79">
        <f t="shared" ref="G171:G234" si="29">D171/$D$2-1</f>
        <v>-1.6477245916509675E-3</v>
      </c>
      <c r="H171" s="79">
        <f t="shared" ref="H171:H234" si="30">B171/$B$2-1</f>
        <v>3.2901835352258102E-2</v>
      </c>
      <c r="I171" s="80" t="str">
        <f t="shared" ref="I171:I234" si="31">TEXT(A171,"mmaaaa")</f>
        <v>102024</v>
      </c>
      <c r="J171" s="79">
        <f t="shared" ref="J171:J234" si="32">IF(I171=I170,(1+E171)*(1+J170)-1,E171)</f>
        <v>-7.5769567893467782E-3</v>
      </c>
      <c r="K171" s="79">
        <f t="shared" ref="K171:K234" si="33">IF(I171=I170,(1+F171)*(1+K170)-1,F171)</f>
        <v>-1.8882318472568382E-4</v>
      </c>
      <c r="L171" s="81">
        <f t="shared" ref="L171:L234" si="34">L170*(1+E171)</f>
        <v>99.83522754083485</v>
      </c>
      <c r="M171" s="82">
        <f t="shared" ref="M171:M234" si="35">M170*(1+F171)</f>
        <v>103.29018353522579</v>
      </c>
    </row>
    <row r="172" spans="1:13" ht="15" thickBot="1" x14ac:dyDescent="0.35">
      <c r="A172" s="60">
        <v>45572</v>
      </c>
      <c r="B172" s="26" vm="171">
        <v>132017.84</v>
      </c>
      <c r="C172" s="26">
        <v>288536.46999999997</v>
      </c>
      <c r="D172" s="68">
        <v>1.78509681</v>
      </c>
      <c r="E172" s="79">
        <f t="shared" si="27"/>
        <v>1.0949590317517188E-3</v>
      </c>
      <c r="F172" s="79">
        <f t="shared" si="28"/>
        <v>1.7170296578195021E-3</v>
      </c>
      <c r="G172" s="79">
        <f t="shared" si="29"/>
        <v>-5.5456975082268656E-4</v>
      </c>
      <c r="H172" s="79">
        <f t="shared" si="30"/>
        <v>3.4675358437174175E-2</v>
      </c>
      <c r="I172" s="80" t="str">
        <f t="shared" si="31"/>
        <v>102024</v>
      </c>
      <c r="J172" s="79">
        <f t="shared" si="32"/>
        <v>-6.4902942148648002E-3</v>
      </c>
      <c r="K172" s="79">
        <f t="shared" si="33"/>
        <v>1.5278822580855334E-3</v>
      </c>
      <c r="L172" s="81">
        <f t="shared" si="34"/>
        <v>99.944543024917678</v>
      </c>
      <c r="M172" s="82">
        <f t="shared" si="35"/>
        <v>103.4675358437174</v>
      </c>
    </row>
    <row r="173" spans="1:13" ht="15" thickBot="1" x14ac:dyDescent="0.35">
      <c r="A173" s="60">
        <v>45573</v>
      </c>
      <c r="B173" s="26" vm="172">
        <v>131511.73000000001</v>
      </c>
      <c r="C173" s="26">
        <v>286880.40000000002</v>
      </c>
      <c r="D173" s="68">
        <v>1.7748511499999999</v>
      </c>
      <c r="E173" s="79">
        <f t="shared" si="27"/>
        <v>-5.7395542598051019E-3</v>
      </c>
      <c r="F173" s="79">
        <f t="shared" si="28"/>
        <v>-3.8336485432574063E-3</v>
      </c>
      <c r="G173" s="79">
        <f t="shared" si="29"/>
        <v>-6.2909410274522015E-3</v>
      </c>
      <c r="H173" s="79">
        <f t="shared" si="30"/>
        <v>3.0708776756557032E-2</v>
      </c>
      <c r="I173" s="80" t="str">
        <f t="shared" si="31"/>
        <v>102024</v>
      </c>
      <c r="J173" s="79">
        <f t="shared" si="32"/>
        <v>-1.2192597078861556E-2</v>
      </c>
      <c r="K173" s="79">
        <f t="shared" si="33"/>
        <v>-2.3116236487648045E-3</v>
      </c>
      <c r="L173" s="81">
        <f t="shared" si="34"/>
        <v>99.370905897254744</v>
      </c>
      <c r="M173" s="82">
        <f t="shared" si="35"/>
        <v>103.07087767565569</v>
      </c>
    </row>
    <row r="174" spans="1:13" ht="15" thickBot="1" x14ac:dyDescent="0.35">
      <c r="A174" s="60">
        <v>45574</v>
      </c>
      <c r="B174" s="26" vm="173">
        <v>129962.06</v>
      </c>
      <c r="C174" s="26">
        <v>284690.34000000003</v>
      </c>
      <c r="D174" s="68">
        <v>1.7613018499999999</v>
      </c>
      <c r="E174" s="79">
        <f t="shared" si="27"/>
        <v>-7.6340486355714887E-3</v>
      </c>
      <c r="F174" s="79">
        <f t="shared" si="28"/>
        <v>-1.1783511630483523E-2</v>
      </c>
      <c r="G174" s="79">
        <f t="shared" si="29"/>
        <v>-1.3876964313256579E-2</v>
      </c>
      <c r="H174" s="79">
        <f t="shared" si="30"/>
        <v>1.8563407898004813E-2</v>
      </c>
      <c r="I174" s="80" t="str">
        <f t="shared" si="31"/>
        <v>102024</v>
      </c>
      <c r="J174" s="79">
        <f t="shared" si="32"/>
        <v>-1.9733566835339111E-2</v>
      </c>
      <c r="K174" s="79">
        <f t="shared" si="33"/>
        <v>-1.4067896235097854E-2</v>
      </c>
      <c r="L174" s="81">
        <f t="shared" si="34"/>
        <v>98.612303568674307</v>
      </c>
      <c r="M174" s="82">
        <f t="shared" si="35"/>
        <v>101.85634078980046</v>
      </c>
    </row>
    <row r="175" spans="1:13" ht="15" thickBot="1" x14ac:dyDescent="0.35">
      <c r="A175" s="60">
        <v>45575</v>
      </c>
      <c r="B175" s="26" vm="174">
        <v>130352.86</v>
      </c>
      <c r="C175" s="26">
        <v>186741.51</v>
      </c>
      <c r="D175" s="68">
        <v>1.7623527000000001</v>
      </c>
      <c r="E175" s="79">
        <f t="shared" si="27"/>
        <v>5.9663254200303939E-4</v>
      </c>
      <c r="F175" s="79">
        <f t="shared" si="28"/>
        <v>3.0070314367132145E-3</v>
      </c>
      <c r="G175" s="79">
        <f t="shared" si="29"/>
        <v>-1.3288611219747004E-2</v>
      </c>
      <c r="H175" s="79">
        <f t="shared" si="30"/>
        <v>2.1626260085839677E-2</v>
      </c>
      <c r="I175" s="80" t="str">
        <f t="shared" si="31"/>
        <v>102024</v>
      </c>
      <c r="J175" s="79">
        <f t="shared" si="32"/>
        <v>-1.9148707981479829E-2</v>
      </c>
      <c r="K175" s="79">
        <f t="shared" si="33"/>
        <v>-1.1103167404612035E-2</v>
      </c>
      <c r="L175" s="81">
        <f t="shared" si="34"/>
        <v>98.671138878025261</v>
      </c>
      <c r="M175" s="82">
        <f t="shared" si="35"/>
        <v>102.16262600858396</v>
      </c>
    </row>
    <row r="176" spans="1:13" ht="15" thickBot="1" x14ac:dyDescent="0.35">
      <c r="A176" s="60">
        <v>45576</v>
      </c>
      <c r="B176" s="26" vm="175">
        <v>129992.29</v>
      </c>
      <c r="C176" s="26">
        <v>186976.1</v>
      </c>
      <c r="D176" s="68">
        <v>1.7645666200000001</v>
      </c>
      <c r="E176" s="79">
        <f t="shared" si="27"/>
        <v>1.2562298114333625E-3</v>
      </c>
      <c r="F176" s="79">
        <f t="shared" si="28"/>
        <v>-2.7661073182437823E-3</v>
      </c>
      <c r="G176" s="79">
        <f t="shared" si="29"/>
        <v>-1.2049074957880546E-2</v>
      </c>
      <c r="H176" s="79">
        <f t="shared" si="30"/>
        <v>1.8800332211306392E-2</v>
      </c>
      <c r="I176" s="80" t="str">
        <f t="shared" si="31"/>
        <v>102024</v>
      </c>
      <c r="J176" s="79">
        <f t="shared" si="32"/>
        <v>-1.791653334786325E-2</v>
      </c>
      <c r="K176" s="79">
        <f t="shared" si="33"/>
        <v>-1.3838562170242263E-2</v>
      </c>
      <c r="L176" s="81">
        <f t="shared" si="34"/>
        <v>98.795092504211922</v>
      </c>
      <c r="M176" s="82">
        <f t="shared" si="35"/>
        <v>101.8800332211306</v>
      </c>
    </row>
    <row r="177" spans="1:13" ht="15" thickBot="1" x14ac:dyDescent="0.35">
      <c r="A177" s="60">
        <v>45579</v>
      </c>
      <c r="B177" s="26" vm="176">
        <v>131005.25</v>
      </c>
      <c r="C177" s="26">
        <v>187431.97</v>
      </c>
      <c r="D177" s="68">
        <v>1.7688688400000001</v>
      </c>
      <c r="E177" s="79">
        <f t="shared" si="27"/>
        <v>2.4381170714879996E-3</v>
      </c>
      <c r="F177" s="79">
        <f t="shared" si="28"/>
        <v>7.7924621529477101E-3</v>
      </c>
      <c r="G177" s="79">
        <f t="shared" si="29"/>
        <v>-9.6403349417428785E-3</v>
      </c>
      <c r="H177" s="79">
        <f t="shared" si="30"/>
        <v>2.673929524147356E-2</v>
      </c>
      <c r="I177" s="80" t="str">
        <f t="shared" si="31"/>
        <v>102024</v>
      </c>
      <c r="J177" s="79">
        <f t="shared" si="32"/>
        <v>-1.5522098882192581E-2</v>
      </c>
      <c r="K177" s="79">
        <f t="shared" si="33"/>
        <v>-6.1539364892573278E-3</v>
      </c>
      <c r="L177" s="81">
        <f t="shared" si="34"/>
        <v>99.035966505825684</v>
      </c>
      <c r="M177" s="82">
        <f t="shared" si="35"/>
        <v>102.67392952414731</v>
      </c>
    </row>
    <row r="178" spans="1:13" ht="15" thickBot="1" x14ac:dyDescent="0.35">
      <c r="A178" s="60">
        <v>45580</v>
      </c>
      <c r="B178" s="26" vm="177">
        <v>131043.27</v>
      </c>
      <c r="C178" s="26">
        <v>187034.43</v>
      </c>
      <c r="D178" s="68">
        <v>1.7651171000000001</v>
      </c>
      <c r="E178" s="79">
        <f t="shared" si="27"/>
        <v>-2.120982582292541E-3</v>
      </c>
      <c r="F178" s="79">
        <f t="shared" si="28"/>
        <v>2.9021737678447401E-4</v>
      </c>
      <c r="G178" s="79">
        <f t="shared" si="29"/>
        <v>-1.1740870541536497E-2</v>
      </c>
      <c r="H178" s="79">
        <f t="shared" si="30"/>
        <v>2.7037272826380132E-2</v>
      </c>
      <c r="I178" s="80" t="str">
        <f t="shared" si="31"/>
        <v>102024</v>
      </c>
      <c r="J178" s="79">
        <f t="shared" si="32"/>
        <v>-1.7610159363115385E-2</v>
      </c>
      <c r="K178" s="79">
        <f t="shared" si="33"/>
        <v>-5.8655050917776341E-3</v>
      </c>
      <c r="L178" s="81">
        <f t="shared" si="34"/>
        <v>98.825912945846326</v>
      </c>
      <c r="M178" s="82">
        <f t="shared" si="35"/>
        <v>102.70372728263797</v>
      </c>
    </row>
    <row r="179" spans="1:13" ht="15" thickBot="1" x14ac:dyDescent="0.35">
      <c r="A179" s="60">
        <v>45581</v>
      </c>
      <c r="B179" s="26" vm="178">
        <v>131749.72</v>
      </c>
      <c r="C179" s="26">
        <v>187157.48</v>
      </c>
      <c r="D179" s="68">
        <v>1.76627837</v>
      </c>
      <c r="E179" s="79">
        <f t="shared" si="27"/>
        <v>6.5789969402030302E-4</v>
      </c>
      <c r="F179" s="79">
        <f t="shared" si="28"/>
        <v>5.3909674262553331E-3</v>
      </c>
      <c r="G179" s="79">
        <f t="shared" si="29"/>
        <v>-1.1090695162653152E-2</v>
      </c>
      <c r="H179" s="79">
        <f t="shared" si="30"/>
        <v>3.2573997309737424E-2</v>
      </c>
      <c r="I179" s="80" t="str">
        <f t="shared" si="31"/>
        <v>102024</v>
      </c>
      <c r="J179" s="79">
        <f t="shared" si="32"/>
        <v>-1.696384538755169E-2</v>
      </c>
      <c r="K179" s="79">
        <f t="shared" si="33"/>
        <v>-5.0615841241063997E-4</v>
      </c>
      <c r="L179" s="81">
        <f t="shared" si="34"/>
        <v>98.890930483734678</v>
      </c>
      <c r="M179" s="82">
        <f t="shared" si="35"/>
        <v>103.25739973097369</v>
      </c>
    </row>
    <row r="180" spans="1:13" ht="15" thickBot="1" x14ac:dyDescent="0.35">
      <c r="A180" s="60">
        <v>45582</v>
      </c>
      <c r="B180" s="26" vm="179">
        <v>130793.41</v>
      </c>
      <c r="C180" s="26">
        <v>186315.26</v>
      </c>
      <c r="D180" s="68">
        <v>1.7583300100000001</v>
      </c>
      <c r="E180" s="79">
        <f t="shared" si="27"/>
        <v>-4.5000607690167671E-3</v>
      </c>
      <c r="F180" s="79">
        <f t="shared" si="28"/>
        <v>-7.2585353502079286E-3</v>
      </c>
      <c r="G180" s="79">
        <f t="shared" si="29"/>
        <v>-1.5540847129467239E-2</v>
      </c>
      <c r="H180" s="79">
        <f t="shared" si="30"/>
        <v>2.5079022448559085E-2</v>
      </c>
      <c r="I180" s="80" t="str">
        <f t="shared" si="31"/>
        <v>102024</v>
      </c>
      <c r="J180" s="79">
        <f t="shared" si="32"/>
        <v>-2.1387567821448239E-2</v>
      </c>
      <c r="K180" s="79">
        <f t="shared" si="33"/>
        <v>-7.7610197938893233E-3</v>
      </c>
      <c r="L180" s="81">
        <f t="shared" si="34"/>
        <v>98.445915287053253</v>
      </c>
      <c r="M180" s="82">
        <f t="shared" si="35"/>
        <v>102.50790224485587</v>
      </c>
    </row>
    <row r="181" spans="1:13" ht="15" thickBot="1" x14ac:dyDescent="0.35">
      <c r="A181" s="60">
        <v>45583</v>
      </c>
      <c r="B181" s="26" vm="180">
        <v>130499.26</v>
      </c>
      <c r="C181" s="26">
        <v>185957.95</v>
      </c>
      <c r="D181" s="68">
        <v>1.7549579399999999</v>
      </c>
      <c r="E181" s="79">
        <f t="shared" si="27"/>
        <v>-1.9177685535834987E-3</v>
      </c>
      <c r="F181" s="79">
        <f t="shared" si="28"/>
        <v>-2.2489665190318364E-3</v>
      </c>
      <c r="G181" s="79">
        <f t="shared" si="29"/>
        <v>-1.7428811935129906E-2</v>
      </c>
      <c r="H181" s="79">
        <f t="shared" si="30"/>
        <v>2.2773654047710368E-2</v>
      </c>
      <c r="I181" s="80" t="str">
        <f t="shared" si="31"/>
        <v>102024</v>
      </c>
      <c r="J181" s="79">
        <f t="shared" si="32"/>
        <v>-2.3264319970026093E-2</v>
      </c>
      <c r="K181" s="79">
        <f t="shared" si="33"/>
        <v>-9.9925320392512118E-3</v>
      </c>
      <c r="L181" s="81">
        <f t="shared" si="34"/>
        <v>98.257118806487</v>
      </c>
      <c r="M181" s="82">
        <f t="shared" si="35"/>
        <v>102.277365404771</v>
      </c>
    </row>
    <row r="182" spans="1:13" ht="15" thickBot="1" x14ac:dyDescent="0.35">
      <c r="A182" s="60">
        <v>45586</v>
      </c>
      <c r="B182" s="26" vm="181">
        <v>130361.56</v>
      </c>
      <c r="C182" s="26">
        <v>185619.99</v>
      </c>
      <c r="D182" s="68">
        <v>1.75176848</v>
      </c>
      <c r="E182" s="79">
        <f t="shared" si="27"/>
        <v>-1.8173996808151793E-3</v>
      </c>
      <c r="F182" s="79">
        <f t="shared" si="28"/>
        <v>-1.0551783971801676E-3</v>
      </c>
      <c r="G182" s="79">
        <f t="shared" si="29"/>
        <v>-1.9214536498697088E-2</v>
      </c>
      <c r="H182" s="79">
        <f t="shared" si="30"/>
        <v>2.1694445382754113E-2</v>
      </c>
      <c r="I182" s="80" t="str">
        <f t="shared" si="31"/>
        <v>102024</v>
      </c>
      <c r="J182" s="79">
        <f t="shared" si="32"/>
        <v>-2.5039439083153314E-2</v>
      </c>
      <c r="K182" s="79">
        <f t="shared" si="33"/>
        <v>-1.1037166532490428E-2</v>
      </c>
      <c r="L182" s="81">
        <f t="shared" si="34"/>
        <v>98.078546350130267</v>
      </c>
      <c r="M182" s="82">
        <f t="shared" si="35"/>
        <v>102.16944453827539</v>
      </c>
    </row>
    <row r="183" spans="1:13" ht="15" thickBot="1" x14ac:dyDescent="0.35">
      <c r="A183" s="60">
        <v>45587</v>
      </c>
      <c r="B183" s="26" vm="182">
        <v>129951.37</v>
      </c>
      <c r="C183" s="26">
        <v>185164.88</v>
      </c>
      <c r="D183" s="68">
        <v>1.7474734300000001</v>
      </c>
      <c r="E183" s="79">
        <f t="shared" si="27"/>
        <v>-2.4518365577623769E-3</v>
      </c>
      <c r="F183" s="79">
        <f t="shared" si="28"/>
        <v>-3.1465563928507745E-3</v>
      </c>
      <c r="G183" s="79">
        <f t="shared" si="29"/>
        <v>-2.1619262153431462E-2</v>
      </c>
      <c r="H183" s="79">
        <f t="shared" si="30"/>
        <v>1.8479626194094934E-2</v>
      </c>
      <c r="I183" s="80" t="str">
        <f t="shared" si="31"/>
        <v>102024</v>
      </c>
      <c r="J183" s="79">
        <f t="shared" si="32"/>
        <v>-2.7429883028785795E-2</v>
      </c>
      <c r="K183" s="79">
        <f t="shared" si="33"/>
        <v>-1.4148993858429382E-2</v>
      </c>
      <c r="L183" s="81">
        <f t="shared" si="34"/>
        <v>97.838073784656828</v>
      </c>
      <c r="M183" s="82">
        <f t="shared" si="35"/>
        <v>101.84796261940946</v>
      </c>
    </row>
    <row r="184" spans="1:13" ht="15" thickBot="1" x14ac:dyDescent="0.35">
      <c r="A184" s="60">
        <v>45588</v>
      </c>
      <c r="B184" s="26" vm="183">
        <v>129233.11</v>
      </c>
      <c r="C184" s="26">
        <v>184219.19</v>
      </c>
      <c r="D184" s="68">
        <v>1.73854858</v>
      </c>
      <c r="E184" s="79">
        <f t="shared" si="27"/>
        <v>-5.1072879545871475E-3</v>
      </c>
      <c r="F184" s="79">
        <f t="shared" si="28"/>
        <v>-5.5271445002849084E-3</v>
      </c>
      <c r="G184" s="79">
        <f t="shared" si="29"/>
        <v>-2.6616134310835426E-2</v>
      </c>
      <c r="H184" s="79">
        <f t="shared" si="30"/>
        <v>1.2850342129524073E-2</v>
      </c>
      <c r="I184" s="80" t="str">
        <f t="shared" si="31"/>
        <v>102024</v>
      </c>
      <c r="J184" s="79">
        <f t="shared" si="32"/>
        <v>-3.2397078672184332E-2</v>
      </c>
      <c r="K184" s="79">
        <f t="shared" si="33"/>
        <v>-1.9597934825125063E-2</v>
      </c>
      <c r="L184" s="81">
        <f t="shared" si="34"/>
        <v>97.338386568916448</v>
      </c>
      <c r="M184" s="82">
        <f t="shared" si="35"/>
        <v>101.28503421295237</v>
      </c>
    </row>
    <row r="185" spans="1:13" ht="15" thickBot="1" x14ac:dyDescent="0.35">
      <c r="A185" s="60">
        <v>45589</v>
      </c>
      <c r="B185" s="26" vm="184">
        <v>130066.95</v>
      </c>
      <c r="C185" s="26">
        <v>185224.13</v>
      </c>
      <c r="D185" s="68">
        <v>1.74803259</v>
      </c>
      <c r="E185" s="79">
        <f t="shared" si="27"/>
        <v>5.455130854036927E-3</v>
      </c>
      <c r="F185" s="79">
        <f t="shared" si="28"/>
        <v>6.4522164637219603E-3</v>
      </c>
      <c r="G185" s="79">
        <f t="shared" si="29"/>
        <v>-2.1306197952292716E-2</v>
      </c>
      <c r="H185" s="79">
        <f t="shared" si="30"/>
        <v>1.9385471782298547E-2</v>
      </c>
      <c r="I185" s="80" t="str">
        <f t="shared" si="31"/>
        <v>102024</v>
      </c>
      <c r="J185" s="79">
        <f t="shared" si="32"/>
        <v>-2.7118678121592743E-2</v>
      </c>
      <c r="K185" s="79">
        <f t="shared" si="33"/>
        <v>-1.3272168479136703E-2</v>
      </c>
      <c r="L185" s="81">
        <f t="shared" si="34"/>
        <v>97.869380204770721</v>
      </c>
      <c r="M185" s="82">
        <f t="shared" si="35"/>
        <v>101.93854717822983</v>
      </c>
    </row>
    <row r="186" spans="1:13" ht="15" thickBot="1" x14ac:dyDescent="0.35">
      <c r="A186" s="60">
        <v>45590</v>
      </c>
      <c r="B186" s="26" vm="185">
        <v>129893.32</v>
      </c>
      <c r="C186" s="26">
        <v>185520.05</v>
      </c>
      <c r="D186" s="68">
        <v>1.7508253</v>
      </c>
      <c r="E186" s="79">
        <f t="shared" si="27"/>
        <v>1.597630396582117E-3</v>
      </c>
      <c r="F186" s="79">
        <f t="shared" si="28"/>
        <v>-1.3349278967484945E-3</v>
      </c>
      <c r="G186" s="79">
        <f t="shared" si="29"/>
        <v>-1.9742606985194922E-2</v>
      </c>
      <c r="H186" s="79">
        <f t="shared" si="30"/>
        <v>1.8024665678476159E-2</v>
      </c>
      <c r="I186" s="80" t="str">
        <f t="shared" si="31"/>
        <v>102024</v>
      </c>
      <c r="J186" s="79">
        <f t="shared" si="32"/>
        <v>-2.5564373349492797E-2</v>
      </c>
      <c r="K186" s="79">
        <f t="shared" si="33"/>
        <v>-1.4589378987932E-2</v>
      </c>
      <c r="L186" s="81">
        <f t="shared" si="34"/>
        <v>98.025739301480513</v>
      </c>
      <c r="M186" s="82">
        <f t="shared" si="35"/>
        <v>101.80246656784759</v>
      </c>
    </row>
    <row r="187" spans="1:13" ht="15" thickBot="1" x14ac:dyDescent="0.35">
      <c r="A187" s="60">
        <v>45593</v>
      </c>
      <c r="B187" s="26" vm="186">
        <v>131212.57999999999</v>
      </c>
      <c r="C187" s="26">
        <v>186150.28</v>
      </c>
      <c r="D187" s="68">
        <v>1.75677303</v>
      </c>
      <c r="E187" s="79">
        <f t="shared" si="27"/>
        <v>3.3971007844129097E-3</v>
      </c>
      <c r="F187" s="79">
        <f t="shared" si="28"/>
        <v>1.0156488416802167E-2</v>
      </c>
      <c r="G187" s="79">
        <f t="shared" si="29"/>
        <v>-1.6412573826457777E-2</v>
      </c>
      <c r="H187" s="79">
        <f t="shared" si="30"/>
        <v>2.8364221403458512E-2</v>
      </c>
      <c r="I187" s="80" t="str">
        <f t="shared" si="31"/>
        <v>102024</v>
      </c>
      <c r="J187" s="79">
        <f t="shared" si="32"/>
        <v>-2.225411731783844E-2</v>
      </c>
      <c r="K187" s="79">
        <f t="shared" si="33"/>
        <v>-4.581067429829111E-3</v>
      </c>
      <c r="L187" s="81">
        <f t="shared" si="34"/>
        <v>98.358742617354224</v>
      </c>
      <c r="M187" s="82">
        <f t="shared" si="35"/>
        <v>102.83642214034582</v>
      </c>
    </row>
    <row r="188" spans="1:13" ht="15" thickBot="1" x14ac:dyDescent="0.35">
      <c r="A188" s="60">
        <v>45594</v>
      </c>
      <c r="B188" s="26" vm="187">
        <v>130729.93</v>
      </c>
      <c r="C188" s="26">
        <v>186486.98</v>
      </c>
      <c r="D188" s="68">
        <v>1.7599506</v>
      </c>
      <c r="E188" s="79">
        <f t="shared" si="27"/>
        <v>1.8087538604802944E-3</v>
      </c>
      <c r="F188" s="79">
        <f t="shared" si="28"/>
        <v>-3.6783820575739812E-3</v>
      </c>
      <c r="G188" s="79">
        <f t="shared" si="29"/>
        <v>-1.4633506272246577E-2</v>
      </c>
      <c r="H188" s="79">
        <f t="shared" si="30"/>
        <v>2.4581504902797091E-2</v>
      </c>
      <c r="I188" s="80" t="str">
        <f t="shared" si="31"/>
        <v>102024</v>
      </c>
      <c r="J188" s="79">
        <f t="shared" si="32"/>
        <v>-2.0485615677968361E-2</v>
      </c>
      <c r="K188" s="79">
        <f t="shared" si="33"/>
        <v>-8.2425985711647165E-3</v>
      </c>
      <c r="L188" s="81">
        <f t="shared" si="34"/>
        <v>98.536649372775358</v>
      </c>
      <c r="M188" s="82">
        <f t="shared" si="35"/>
        <v>102.45815049027966</v>
      </c>
    </row>
    <row r="189" spans="1:13" ht="15" thickBot="1" x14ac:dyDescent="0.35">
      <c r="A189" s="60">
        <v>45595</v>
      </c>
      <c r="B189" s="26" vm="188">
        <v>130639.33</v>
      </c>
      <c r="C189" s="26">
        <v>186834.4</v>
      </c>
      <c r="D189" s="68">
        <v>1.7613418599999999</v>
      </c>
      <c r="E189" s="79">
        <f t="shared" si="27"/>
        <v>7.9051082456516042E-4</v>
      </c>
      <c r="F189" s="79">
        <f t="shared" si="28"/>
        <v>-6.9303180993052216E-4</v>
      </c>
      <c r="G189" s="79">
        <f t="shared" si="29"/>
        <v>-1.3854563392791008E-2</v>
      </c>
      <c r="H189" s="79">
        <f t="shared" si="30"/>
        <v>2.3871437328032874E-2</v>
      </c>
      <c r="I189" s="80" t="str">
        <f t="shared" si="31"/>
        <v>102024</v>
      </c>
      <c r="J189" s="79">
        <f t="shared" si="32"/>
        <v>-1.9711298954344536E-2</v>
      </c>
      <c r="K189" s="79">
        <f t="shared" si="33"/>
        <v>-8.9299179980889543E-3</v>
      </c>
      <c r="L189" s="81">
        <f t="shared" si="34"/>
        <v>98.614543660720912</v>
      </c>
      <c r="M189" s="82">
        <f t="shared" si="35"/>
        <v>102.38714373280325</v>
      </c>
    </row>
    <row r="190" spans="1:13" ht="15" thickBot="1" x14ac:dyDescent="0.35">
      <c r="A190" s="60">
        <v>45596</v>
      </c>
      <c r="B190" s="26" vm="189">
        <v>129713.33</v>
      </c>
      <c r="C190" s="26">
        <v>185536.23</v>
      </c>
      <c r="D190" s="68">
        <v>1.74910364</v>
      </c>
      <c r="E190" s="79">
        <f t="shared" si="27"/>
        <v>-6.9482366131921047E-3</v>
      </c>
      <c r="F190" s="79">
        <f t="shared" si="28"/>
        <v>-7.08821761409828E-3</v>
      </c>
      <c r="G190" s="79">
        <f t="shared" si="29"/>
        <v>-2.0706535221357569E-2</v>
      </c>
      <c r="H190" s="79">
        <f t="shared" si="30"/>
        <v>1.6614013771392155E-2</v>
      </c>
      <c r="I190" s="80" t="str">
        <f t="shared" si="31"/>
        <v>102024</v>
      </c>
      <c r="J190" s="79">
        <f t="shared" si="32"/>
        <v>-2.6522576798448494E-2</v>
      </c>
      <c r="K190" s="79">
        <f t="shared" si="33"/>
        <v>-1.5954838410140781E-2</v>
      </c>
      <c r="L190" s="81">
        <f t="shared" si="34"/>
        <v>97.929346477864257</v>
      </c>
      <c r="M190" s="82">
        <f t="shared" si="35"/>
        <v>101.66140137713919</v>
      </c>
    </row>
    <row r="191" spans="1:13" ht="15" thickBot="1" x14ac:dyDescent="0.35">
      <c r="A191" s="60">
        <v>45597</v>
      </c>
      <c r="B191" s="26" vm="190">
        <v>128120.75</v>
      </c>
      <c r="C191" s="26">
        <v>185152.49</v>
      </c>
      <c r="D191" s="68">
        <v>1.73839791</v>
      </c>
      <c r="E191" s="79">
        <f t="shared" si="27"/>
        <v>-6.1206950549825834E-3</v>
      </c>
      <c r="F191" s="79">
        <f t="shared" si="28"/>
        <v>-1.227768957901243E-2</v>
      </c>
      <c r="G191" s="79">
        <f t="shared" si="29"/>
        <v>-2.6700491888604905E-2</v>
      </c>
      <c r="H191" s="79">
        <f t="shared" si="30"/>
        <v>4.132342488633256E-3</v>
      </c>
      <c r="I191" s="80" t="str">
        <f t="shared" si="31"/>
        <v>112024</v>
      </c>
      <c r="J191" s="79">
        <f t="shared" si="32"/>
        <v>-6.1206950549825834E-3</v>
      </c>
      <c r="K191" s="79">
        <f t="shared" si="33"/>
        <v>-1.227768957901243E-2</v>
      </c>
      <c r="L191" s="81">
        <f t="shared" si="34"/>
        <v>97.329950811139511</v>
      </c>
      <c r="M191" s="82">
        <f t="shared" si="35"/>
        <v>100.41323424886329</v>
      </c>
    </row>
    <row r="192" spans="1:13" ht="15" thickBot="1" x14ac:dyDescent="0.35">
      <c r="A192" s="60">
        <v>45600</v>
      </c>
      <c r="B192" s="26" vm="191">
        <v>130514.79</v>
      </c>
      <c r="C192" s="26">
        <v>187025.97</v>
      </c>
      <c r="D192" s="68">
        <v>1.7559880299999999</v>
      </c>
      <c r="E192" s="79">
        <f t="shared" si="27"/>
        <v>1.0118580964009416E-2</v>
      </c>
      <c r="F192" s="79">
        <f t="shared" si="28"/>
        <v>1.868581006589487E-2</v>
      </c>
      <c r="G192" s="79">
        <f t="shared" si="29"/>
        <v>-1.6852082013549152E-2</v>
      </c>
      <c r="H192" s="79">
        <f t="shared" si="30"/>
        <v>2.2895368721397746E-2</v>
      </c>
      <c r="I192" s="80" t="str">
        <f t="shared" si="31"/>
        <v>112024</v>
      </c>
      <c r="J192" s="79">
        <f t="shared" si="32"/>
        <v>3.9359531605569487E-3</v>
      </c>
      <c r="K192" s="79">
        <f t="shared" si="33"/>
        <v>6.1787019113610508E-3</v>
      </c>
      <c r="L192" s="81">
        <f t="shared" si="34"/>
        <v>98.314791798645075</v>
      </c>
      <c r="M192" s="82">
        <f t="shared" si="35"/>
        <v>102.28953687213976</v>
      </c>
    </row>
    <row r="193" spans="1:13" ht="15" thickBot="1" x14ac:dyDescent="0.35">
      <c r="A193" s="60">
        <v>45601</v>
      </c>
      <c r="B193" s="26" vm="192">
        <v>130660.75</v>
      </c>
      <c r="C193" s="26">
        <v>186697.65</v>
      </c>
      <c r="D193" s="68">
        <v>1.75290543</v>
      </c>
      <c r="E193" s="79">
        <f t="shared" si="27"/>
        <v>-1.755478936835364E-3</v>
      </c>
      <c r="F193" s="79">
        <f t="shared" si="28"/>
        <v>1.1183406876722479E-3</v>
      </c>
      <c r="G193" s="79">
        <f t="shared" si="29"/>
        <v>-1.8577977475367824E-2</v>
      </c>
      <c r="H193" s="79">
        <f t="shared" si="30"/>
        <v>2.4039314231470543E-2</v>
      </c>
      <c r="I193" s="80" t="str">
        <f t="shared" si="31"/>
        <v>112024</v>
      </c>
      <c r="J193" s="79">
        <f t="shared" si="32"/>
        <v>2.173564740851841E-3</v>
      </c>
      <c r="K193" s="79">
        <f t="shared" si="33"/>
        <v>7.303952492777821E-3</v>
      </c>
      <c r="L193" s="81">
        <f t="shared" si="34"/>
        <v>98.142202252463193</v>
      </c>
      <c r="M193" s="82">
        <f t="shared" si="35"/>
        <v>102.40393142314703</v>
      </c>
    </row>
    <row r="194" spans="1:13" ht="15" thickBot="1" x14ac:dyDescent="0.35">
      <c r="A194" s="60">
        <v>45602</v>
      </c>
      <c r="B194" s="26" vm="193">
        <v>130340.92</v>
      </c>
      <c r="C194" s="26">
        <v>185555.17</v>
      </c>
      <c r="D194" s="68">
        <v>1.7421786800000001</v>
      </c>
      <c r="E194" s="79">
        <f t="shared" si="27"/>
        <v>-6.1194117015199723E-3</v>
      </c>
      <c r="F194" s="79">
        <f t="shared" si="28"/>
        <v>-2.4477894088316132E-3</v>
      </c>
      <c r="G194" s="79">
        <f t="shared" si="29"/>
        <v>-2.4583702884134473E-2</v>
      </c>
      <c r="H194" s="79">
        <f t="shared" si="30"/>
        <v>2.1532681643867457E-2</v>
      </c>
      <c r="I194" s="80" t="str">
        <f t="shared" si="31"/>
        <v>112024</v>
      </c>
      <c r="J194" s="79">
        <f t="shared" si="32"/>
        <v>-3.9591478981773065E-3</v>
      </c>
      <c r="K194" s="79">
        <f t="shared" si="33"/>
        <v>4.8382845463916802E-3</v>
      </c>
      <c r="L194" s="81">
        <f t="shared" si="34"/>
        <v>97.541629711586523</v>
      </c>
      <c r="M194" s="82">
        <f t="shared" si="35"/>
        <v>102.15326816438673</v>
      </c>
    </row>
    <row r="195" spans="1:13" ht="15" thickBot="1" x14ac:dyDescent="0.35">
      <c r="A195" s="60">
        <v>45603</v>
      </c>
      <c r="B195" s="26" vm="194">
        <v>129681.7</v>
      </c>
      <c r="C195" s="26">
        <v>186075.84</v>
      </c>
      <c r="D195" s="68">
        <v>1.74706725</v>
      </c>
      <c r="E195" s="79">
        <f t="shared" si="27"/>
        <v>2.806009542029253E-3</v>
      </c>
      <c r="F195" s="79">
        <f t="shared" si="28"/>
        <v>-5.0576595592543017E-3</v>
      </c>
      <c r="G195" s="79">
        <f t="shared" si="29"/>
        <v>-2.1846675446976493E-2</v>
      </c>
      <c r="H195" s="79">
        <f t="shared" si="30"/>
        <v>1.6366117111460632E-2</v>
      </c>
      <c r="I195" s="80" t="str">
        <f t="shared" si="31"/>
        <v>112024</v>
      </c>
      <c r="J195" s="79">
        <f t="shared" si="32"/>
        <v>-1.1642477629286718E-3</v>
      </c>
      <c r="K195" s="79">
        <f t="shared" si="33"/>
        <v>-2.4384540894906159E-4</v>
      </c>
      <c r="L195" s="81">
        <f t="shared" si="34"/>
        <v>97.815332455302325</v>
      </c>
      <c r="M195" s="82">
        <f t="shared" si="35"/>
        <v>101.63661171114605</v>
      </c>
    </row>
    <row r="196" spans="1:13" ht="15" thickBot="1" x14ac:dyDescent="0.35">
      <c r="A196" s="60">
        <v>45604</v>
      </c>
      <c r="B196" s="26" vm="195">
        <v>127829.8</v>
      </c>
      <c r="C196" s="26">
        <v>184252.97</v>
      </c>
      <c r="D196" s="68">
        <v>1.7269364700000001</v>
      </c>
      <c r="E196" s="79">
        <f t="shared" ref="E196:E259" si="36">D196/D195-1</f>
        <v>-1.1522613110628632E-2</v>
      </c>
      <c r="F196" s="79">
        <f t="shared" si="28"/>
        <v>-1.4280349501895717E-2</v>
      </c>
      <c r="G196" s="79">
        <f t="shared" si="29"/>
        <v>-3.3117557768676198E-2</v>
      </c>
      <c r="H196" s="79">
        <f t="shared" si="30"/>
        <v>1.8520537372244128E-3</v>
      </c>
      <c r="I196" s="80" t="str">
        <f t="shared" si="31"/>
        <v>112024</v>
      </c>
      <c r="J196" s="79">
        <f t="shared" si="32"/>
        <v>-1.2673445697020114E-2</v>
      </c>
      <c r="K196" s="79">
        <f t="shared" si="33"/>
        <v>-1.4520712713180561E-2</v>
      </c>
      <c r="L196" s="81">
        <f t="shared" si="34"/>
        <v>96.688244223132358</v>
      </c>
      <c r="M196" s="82">
        <f t="shared" si="35"/>
        <v>100.18520537372241</v>
      </c>
    </row>
    <row r="197" spans="1:13" ht="15" thickBot="1" x14ac:dyDescent="0.35">
      <c r="A197" s="60">
        <v>45607</v>
      </c>
      <c r="B197" s="26" vm="196">
        <v>127873.7</v>
      </c>
      <c r="C197" s="26">
        <v>183948.4</v>
      </c>
      <c r="D197" s="68">
        <v>1.7240818499999999</v>
      </c>
      <c r="E197" s="79">
        <f t="shared" si="36"/>
        <v>-1.6529965343775599E-3</v>
      </c>
      <c r="F197" s="79">
        <f t="shared" si="28"/>
        <v>3.4342539845955145E-4</v>
      </c>
      <c r="G197" s="79">
        <f t="shared" si="29"/>
        <v>-3.4715811094835014E-2</v>
      </c>
      <c r="H197" s="79">
        <f t="shared" si="30"/>
        <v>2.1961151779765764E-3</v>
      </c>
      <c r="I197" s="80" t="str">
        <f t="shared" si="31"/>
        <v>112024</v>
      </c>
      <c r="J197" s="79">
        <f t="shared" si="32"/>
        <v>-1.4305493069581843E-2</v>
      </c>
      <c r="K197" s="79">
        <f t="shared" si="33"/>
        <v>-1.4182274096270486E-2</v>
      </c>
      <c r="L197" s="81">
        <f t="shared" si="34"/>
        <v>96.528418890516463</v>
      </c>
      <c r="M197" s="82">
        <f t="shared" si="35"/>
        <v>100.21961151779763</v>
      </c>
    </row>
    <row r="198" spans="1:13" ht="15" thickBot="1" x14ac:dyDescent="0.35">
      <c r="A198" s="60">
        <v>45608</v>
      </c>
      <c r="B198" s="26" vm="197">
        <v>127698.32</v>
      </c>
      <c r="C198" s="26">
        <v>183351.89</v>
      </c>
      <c r="D198" s="68">
        <v>1.7138046600000001</v>
      </c>
      <c r="E198" s="79">
        <f t="shared" si="36"/>
        <v>-5.9609640922789753E-3</v>
      </c>
      <c r="F198" s="79">
        <f t="shared" si="28"/>
        <v>-1.3715095441829694E-3</v>
      </c>
      <c r="G198" s="79">
        <f t="shared" si="29"/>
        <v>-4.0469835483743277E-2</v>
      </c>
      <c r="H198" s="79">
        <f t="shared" si="30"/>
        <v>8.2159364086686892E-4</v>
      </c>
      <c r="I198" s="80" t="str">
        <f t="shared" si="31"/>
        <v>112024</v>
      </c>
      <c r="J198" s="79">
        <f t="shared" si="32"/>
        <v>-2.0181182631350714E-2</v>
      </c>
      <c r="K198" s="79">
        <f t="shared" si="33"/>
        <v>-1.55343325161722E-2</v>
      </c>
      <c r="L198" s="81">
        <f t="shared" si="34"/>
        <v>95.953016451625629</v>
      </c>
      <c r="M198" s="82">
        <f t="shared" si="35"/>
        <v>100.08215936408666</v>
      </c>
    </row>
    <row r="199" spans="1:13" ht="15" thickBot="1" x14ac:dyDescent="0.35">
      <c r="A199" s="60">
        <v>45609</v>
      </c>
      <c r="B199" s="26" vm="198">
        <v>127733.88</v>
      </c>
      <c r="C199" s="26">
        <v>183585.39</v>
      </c>
      <c r="D199" s="68">
        <v>1.7159872</v>
      </c>
      <c r="E199" s="79">
        <f t="shared" si="36"/>
        <v>1.2735056981347803E-3</v>
      </c>
      <c r="F199" s="79">
        <f t="shared" si="28"/>
        <v>2.784688161912019E-4</v>
      </c>
      <c r="G199" s="79">
        <f t="shared" si="29"/>
        <v>-3.9247868351699577E-2</v>
      </c>
      <c r="H199" s="79">
        <f t="shared" si="30"/>
        <v>1.1002912452664493E-3</v>
      </c>
      <c r="I199" s="80" t="str">
        <f t="shared" si="31"/>
        <v>112024</v>
      </c>
      <c r="J199" s="79">
        <f t="shared" si="32"/>
        <v>-1.8933377784292049E-2</v>
      </c>
      <c r="K199" s="79">
        <f t="shared" si="33"/>
        <v>-1.5260189527167123E-2</v>
      </c>
      <c r="L199" s="81">
        <f t="shared" si="34"/>
        <v>96.075213164829989</v>
      </c>
      <c r="M199" s="82">
        <f t="shared" si="35"/>
        <v>100.11002912452663</v>
      </c>
    </row>
    <row r="200" spans="1:13" ht="15" thickBot="1" x14ac:dyDescent="0.35">
      <c r="A200" s="60">
        <v>45610</v>
      </c>
      <c r="B200" s="26" vm="199">
        <v>127791.6</v>
      </c>
      <c r="C200" s="26">
        <v>183264.85</v>
      </c>
      <c r="D200" s="68">
        <v>1.71299109</v>
      </c>
      <c r="E200" s="79">
        <f t="shared" si="36"/>
        <v>-1.7459978722451641E-3</v>
      </c>
      <c r="F200" s="79">
        <f t="shared" si="28"/>
        <v>4.5187698048465563E-4</v>
      </c>
      <c r="G200" s="79">
        <f t="shared" si="29"/>
        <v>-4.0925339529312543E-2</v>
      </c>
      <c r="H200" s="79">
        <f t="shared" si="30"/>
        <v>1.552665422036803E-3</v>
      </c>
      <c r="I200" s="80" t="str">
        <f t="shared" si="31"/>
        <v>112024</v>
      </c>
      <c r="J200" s="79">
        <f t="shared" si="32"/>
        <v>-2.0646318019211463E-2</v>
      </c>
      <c r="K200" s="79">
        <f t="shared" si="33"/>
        <v>-1.4815208275047675E-2</v>
      </c>
      <c r="L200" s="81">
        <f t="shared" si="34"/>
        <v>95.907466047068695</v>
      </c>
      <c r="M200" s="82">
        <f t="shared" si="35"/>
        <v>100.15526654220365</v>
      </c>
    </row>
    <row r="201" spans="1:13" ht="15" thickBot="1" x14ac:dyDescent="0.35">
      <c r="A201" s="60">
        <v>45614</v>
      </c>
      <c r="B201" s="26" vm="200">
        <v>127768.19</v>
      </c>
      <c r="C201" s="26">
        <v>183165.51</v>
      </c>
      <c r="D201" s="68">
        <v>1.71206255</v>
      </c>
      <c r="E201" s="79">
        <f t="shared" si="36"/>
        <v>-5.4205769394866099E-4</v>
      </c>
      <c r="F201" s="79">
        <f t="shared" si="28"/>
        <v>-1.8318887939428041E-4</v>
      </c>
      <c r="G201" s="79">
        <f t="shared" si="29"/>
        <v>-4.1445213328091923E-2</v>
      </c>
      <c r="H201" s="79">
        <f t="shared" si="30"/>
        <v>1.3691921116036898E-3</v>
      </c>
      <c r="I201" s="80" t="str">
        <f t="shared" si="31"/>
        <v>112024</v>
      </c>
      <c r="J201" s="79">
        <f t="shared" si="32"/>
        <v>-2.1177184217626044E-2</v>
      </c>
      <c r="K201" s="79">
        <f t="shared" si="33"/>
        <v>-1.4995683173040009E-2</v>
      </c>
      <c r="L201" s="81">
        <f t="shared" si="34"/>
        <v>95.855478667190766</v>
      </c>
      <c r="M201" s="82">
        <f t="shared" si="35"/>
        <v>100.13691921116035</v>
      </c>
    </row>
    <row r="202" spans="1:13" ht="15" thickBot="1" x14ac:dyDescent="0.35">
      <c r="A202" s="60">
        <v>45615</v>
      </c>
      <c r="B202" s="26" vm="201">
        <v>128197.25</v>
      </c>
      <c r="C202" s="26">
        <v>184095.9</v>
      </c>
      <c r="D202" s="68">
        <v>1.72075898</v>
      </c>
      <c r="E202" s="79">
        <f t="shared" si="36"/>
        <v>5.0795048346803373E-3</v>
      </c>
      <c r="F202" s="79">
        <f t="shared" si="28"/>
        <v>3.3581128448325614E-3</v>
      </c>
      <c r="G202" s="79">
        <f t="shared" si="29"/>
        <v>-3.657622965488605E-2</v>
      </c>
      <c r="H202" s="79">
        <f t="shared" si="30"/>
        <v>4.7319028580532496E-3</v>
      </c>
      <c r="I202" s="80" t="str">
        <f t="shared" si="31"/>
        <v>112024</v>
      </c>
      <c r="J202" s="79">
        <f t="shared" si="32"/>
        <v>-1.6205248992564036E-2</v>
      </c>
      <c r="K202" s="79">
        <f t="shared" si="33"/>
        <v>-1.1687927524487884E-2</v>
      </c>
      <c r="L202" s="81">
        <f t="shared" si="34"/>
        <v>96.342377034511358</v>
      </c>
      <c r="M202" s="82">
        <f t="shared" si="35"/>
        <v>100.4731902858053</v>
      </c>
    </row>
    <row r="203" spans="1:13" ht="15" thickBot="1" x14ac:dyDescent="0.35">
      <c r="A203" s="60">
        <v>45617</v>
      </c>
      <c r="B203" s="26" vm="202">
        <v>126922.11</v>
      </c>
      <c r="C203" s="26">
        <v>182482.26</v>
      </c>
      <c r="D203" s="68">
        <v>1.7056761600000001</v>
      </c>
      <c r="E203" s="79">
        <f t="shared" si="36"/>
        <v>-8.7652135919696894E-3</v>
      </c>
      <c r="F203" s="79">
        <f t="shared" si="28"/>
        <v>-9.9467032249132004E-3</v>
      </c>
      <c r="G203" s="79">
        <f t="shared" si="29"/>
        <v>-4.502084478154178E-2</v>
      </c>
      <c r="H203" s="79">
        <f t="shared" si="30"/>
        <v>-5.261867200277992E-3</v>
      </c>
      <c r="I203" s="80" t="str">
        <f t="shared" si="31"/>
        <v>112024</v>
      </c>
      <c r="J203" s="79">
        <f t="shared" si="32"/>
        <v>-2.4828420115802885E-2</v>
      </c>
      <c r="K203" s="79">
        <f t="shared" si="33"/>
        <v>-2.1518374403000751E-2</v>
      </c>
      <c r="L203" s="81">
        <f t="shared" si="34"/>
        <v>95.497915521845798</v>
      </c>
      <c r="M203" s="82">
        <f t="shared" si="35"/>
        <v>99.473813279972163</v>
      </c>
    </row>
    <row r="204" spans="1:13" ht="15" thickBot="1" x14ac:dyDescent="0.35">
      <c r="A204" s="60">
        <v>45618</v>
      </c>
      <c r="B204" s="26" vm="203">
        <v>129125.51</v>
      </c>
      <c r="C204" s="26">
        <v>184299.21</v>
      </c>
      <c r="D204" s="68">
        <v>1.7226593299999999</v>
      </c>
      <c r="E204" s="79">
        <f t="shared" si="36"/>
        <v>9.9568548815267555E-3</v>
      </c>
      <c r="F204" s="79">
        <f t="shared" si="28"/>
        <v>1.736025346568848E-2</v>
      </c>
      <c r="G204" s="79">
        <f t="shared" si="29"/>
        <v>-3.551225591814855E-2</v>
      </c>
      <c r="H204" s="79">
        <f t="shared" si="30"/>
        <v>1.2007038917110746E-2</v>
      </c>
      <c r="I204" s="80" t="str">
        <f t="shared" si="31"/>
        <v>112024</v>
      </c>
      <c r="J204" s="79">
        <f t="shared" si="32"/>
        <v>-1.5118778210306716E-2</v>
      </c>
      <c r="K204" s="79">
        <f t="shared" si="33"/>
        <v>-4.5316853711179217E-3</v>
      </c>
      <c r="L204" s="81">
        <f t="shared" si="34"/>
        <v>96.448774408185116</v>
      </c>
      <c r="M204" s="82">
        <f t="shared" si="35"/>
        <v>101.20070389171104</v>
      </c>
    </row>
    <row r="205" spans="1:13" ht="15" thickBot="1" x14ac:dyDescent="0.35">
      <c r="A205" s="60">
        <v>45621</v>
      </c>
      <c r="B205" s="26" vm="204">
        <v>129036.1</v>
      </c>
      <c r="C205" s="26">
        <v>184195.26</v>
      </c>
      <c r="D205" s="68">
        <v>1.7216876999999999</v>
      </c>
      <c r="E205" s="79">
        <f t="shared" si="36"/>
        <v>-5.6402910493047465E-4</v>
      </c>
      <c r="F205" s="79">
        <f t="shared" si="28"/>
        <v>-6.9242708121730612E-4</v>
      </c>
      <c r="G205" s="79">
        <f t="shared" si="29"/>
        <v>-3.6056255077159483E-2</v>
      </c>
      <c r="H205" s="79">
        <f t="shared" si="30"/>
        <v>1.1306297836982226E-2</v>
      </c>
      <c r="I205" s="80" t="str">
        <f t="shared" si="31"/>
        <v>112024</v>
      </c>
      <c r="J205" s="79">
        <f t="shared" si="32"/>
        <v>-1.5674279884295594E-2</v>
      </c>
      <c r="K205" s="79">
        <f t="shared" si="33"/>
        <v>-5.2209745906607319E-3</v>
      </c>
      <c r="L205" s="81">
        <f t="shared" si="34"/>
        <v>96.39437449228403</v>
      </c>
      <c r="M205" s="82">
        <f t="shared" si="35"/>
        <v>101.13062978369817</v>
      </c>
    </row>
    <row r="206" spans="1:13" ht="15" thickBot="1" x14ac:dyDescent="0.35">
      <c r="A206" s="60">
        <v>45622</v>
      </c>
      <c r="B206" s="26" vm="205">
        <v>129922.38</v>
      </c>
      <c r="C206" s="26">
        <v>184930.32</v>
      </c>
      <c r="D206" s="68">
        <v>1.72855837</v>
      </c>
      <c r="E206" s="79">
        <f t="shared" si="36"/>
        <v>3.9906598624128709E-3</v>
      </c>
      <c r="F206" s="79">
        <f t="shared" si="28"/>
        <v>6.8684654914399346E-3</v>
      </c>
      <c r="G206" s="79">
        <f t="shared" si="29"/>
        <v>-3.2209483464671784E-2</v>
      </c>
      <c r="H206" s="79">
        <f t="shared" si="30"/>
        <v>1.8252420244951439E-2</v>
      </c>
      <c r="I206" s="80" t="str">
        <f t="shared" si="31"/>
        <v>112024</v>
      </c>
      <c r="J206" s="79">
        <f t="shared" si="32"/>
        <v>-1.1746170741489204E-2</v>
      </c>
      <c r="K206" s="79">
        <f t="shared" si="33"/>
        <v>1.6116308169715765E-3</v>
      </c>
      <c r="L206" s="81">
        <f t="shared" si="34"/>
        <v>96.779051653532775</v>
      </c>
      <c r="M206" s="82">
        <f t="shared" si="35"/>
        <v>101.82524202449508</v>
      </c>
    </row>
    <row r="207" spans="1:13" ht="15" thickBot="1" x14ac:dyDescent="0.35">
      <c r="A207" s="60">
        <v>45623</v>
      </c>
      <c r="B207" s="26" vm="206">
        <v>127668.61</v>
      </c>
      <c r="C207" s="26">
        <v>183384.89</v>
      </c>
      <c r="D207" s="68">
        <v>1.71411311</v>
      </c>
      <c r="E207" s="79">
        <f t="shared" si="36"/>
        <v>-8.3568251154862994E-3</v>
      </c>
      <c r="F207" s="79">
        <f t="shared" si="28"/>
        <v>-1.7347049830829797E-2</v>
      </c>
      <c r="G207" s="79">
        <f t="shared" si="29"/>
        <v>-4.0297139559783646E-2</v>
      </c>
      <c r="H207" s="79">
        <f t="shared" si="30"/>
        <v>5.8874477059922548E-4</v>
      </c>
      <c r="I207" s="80" t="str">
        <f t="shared" si="31"/>
        <v>112024</v>
      </c>
      <c r="J207" s="79">
        <f t="shared" si="32"/>
        <v>-2.0004835162312218E-2</v>
      </c>
      <c r="K207" s="79">
        <f t="shared" si="33"/>
        <v>-1.5763376053949174E-2</v>
      </c>
      <c r="L207" s="81">
        <f t="shared" si="34"/>
        <v>95.970286044021591</v>
      </c>
      <c r="M207" s="82">
        <f t="shared" si="35"/>
        <v>100.05887447705986</v>
      </c>
    </row>
    <row r="208" spans="1:13" ht="15" thickBot="1" x14ac:dyDescent="0.35">
      <c r="A208" s="60">
        <v>45624</v>
      </c>
      <c r="B208" s="26" vm="207">
        <v>124610.41</v>
      </c>
      <c r="C208" s="26">
        <v>181721.98</v>
      </c>
      <c r="D208" s="68">
        <v>1.69856976</v>
      </c>
      <c r="E208" s="79">
        <f t="shared" si="36"/>
        <v>-9.0678671724294668E-3</v>
      </c>
      <c r="F208" s="79">
        <f t="shared" si="28"/>
        <v>-2.3954204561324799E-2</v>
      </c>
      <c r="G208" s="79">
        <f t="shared" si="29"/>
        <v>-4.899959762325623E-2</v>
      </c>
      <c r="H208" s="79">
        <f t="shared" si="30"/>
        <v>-2.3379562703395029E-2</v>
      </c>
      <c r="I208" s="80" t="str">
        <f t="shared" si="31"/>
        <v>112024</v>
      </c>
      <c r="J208" s="79">
        <f t="shared" si="32"/>
        <v>-2.8891301146683479E-2</v>
      </c>
      <c r="K208" s="79">
        <f t="shared" si="33"/>
        <v>-3.9339981480700614E-2</v>
      </c>
      <c r="L208" s="81">
        <f t="shared" si="34"/>
        <v>95.100040237674335</v>
      </c>
      <c r="M208" s="82">
        <f t="shared" si="35"/>
        <v>97.662043729660454</v>
      </c>
    </row>
    <row r="209" spans="1:13" ht="15" thickBot="1" x14ac:dyDescent="0.35">
      <c r="A209" s="60">
        <v>45625</v>
      </c>
      <c r="B209" s="26" vm="208">
        <v>125667.83</v>
      </c>
      <c r="C209" s="26">
        <v>182545.5</v>
      </c>
      <c r="D209" s="68">
        <v>1.7062672699999999</v>
      </c>
      <c r="E209" s="79">
        <f t="shared" si="36"/>
        <v>4.5317597082381589E-3</v>
      </c>
      <c r="F209" s="79">
        <f t="shared" si="28"/>
        <v>8.4858078871581366E-3</v>
      </c>
      <c r="G209" s="79">
        <f t="shared" si="29"/>
        <v>-4.468989231724696E-2</v>
      </c>
      <c r="H209" s="79">
        <f t="shared" si="30"/>
        <v>-1.5092149293823742E-2</v>
      </c>
      <c r="I209" s="80" t="str">
        <f t="shared" si="31"/>
        <v>112024</v>
      </c>
      <c r="J209" s="79">
        <f t="shared" si="32"/>
        <v>-2.4490469872900489E-2</v>
      </c>
      <c r="K209" s="79">
        <f t="shared" si="33"/>
        <v>-3.1188005118672035E-2</v>
      </c>
      <c r="L209" s="81">
        <f t="shared" si="34"/>
        <v>95.531010768275252</v>
      </c>
      <c r="M209" s="82">
        <f t="shared" si="35"/>
        <v>98.490785070617591</v>
      </c>
    </row>
    <row r="210" spans="1:13" ht="15" thickBot="1" x14ac:dyDescent="0.35">
      <c r="A210" s="60">
        <v>45628</v>
      </c>
      <c r="B210" s="26" vm="209">
        <v>125235.54</v>
      </c>
      <c r="C210" s="26">
        <v>182883.04</v>
      </c>
      <c r="D210" s="68">
        <v>1.7094222800000001</v>
      </c>
      <c r="E210" s="79">
        <f t="shared" si="36"/>
        <v>1.8490713943075665E-3</v>
      </c>
      <c r="F210" s="79">
        <f t="shared" si="28"/>
        <v>-3.439941630248633E-3</v>
      </c>
      <c r="G210" s="79">
        <f t="shared" si="29"/>
        <v>-4.2923455724437898E-2</v>
      </c>
      <c r="H210" s="79">
        <f t="shared" si="30"/>
        <v>-1.8480174811426608E-2</v>
      </c>
      <c r="I210" s="80" t="str">
        <f t="shared" si="31"/>
        <v>122024</v>
      </c>
      <c r="J210" s="79">
        <f t="shared" si="32"/>
        <v>1.8490713943075665E-3</v>
      </c>
      <c r="K210" s="79">
        <f t="shared" si="33"/>
        <v>-3.439941630248633E-3</v>
      </c>
      <c r="L210" s="81">
        <f t="shared" si="34"/>
        <v>95.707654427556164</v>
      </c>
      <c r="M210" s="82">
        <f t="shared" si="35"/>
        <v>98.151982518857309</v>
      </c>
    </row>
    <row r="211" spans="1:13" ht="15" thickBot="1" x14ac:dyDescent="0.35">
      <c r="A211" s="60">
        <v>45629</v>
      </c>
      <c r="B211" s="26" vm="210">
        <v>126139.2</v>
      </c>
      <c r="C211" s="26">
        <v>184108.53</v>
      </c>
      <c r="D211" s="68">
        <v>1.72087703</v>
      </c>
      <c r="E211" s="79">
        <f t="shared" si="36"/>
        <v>6.7009481121305114E-3</v>
      </c>
      <c r="F211" s="79">
        <f t="shared" si="28"/>
        <v>7.2156833435621515E-3</v>
      </c>
      <c r="G211" s="79">
        <f t="shared" si="29"/>
        <v>-3.6510135461910065E-2</v>
      </c>
      <c r="H211" s="79">
        <f t="shared" si="30"/>
        <v>-1.1397838557437479E-2</v>
      </c>
      <c r="I211" s="80" t="str">
        <f t="shared" si="31"/>
        <v>122024</v>
      </c>
      <c r="J211" s="79">
        <f t="shared" si="32"/>
        <v>8.5624100379069201E-3</v>
      </c>
      <c r="K211" s="79">
        <f t="shared" si="33"/>
        <v>3.750920183789308E-3</v>
      </c>
      <c r="L211" s="81">
        <f t="shared" si="34"/>
        <v>96.348986453808934</v>
      </c>
      <c r="M211" s="82">
        <f t="shared" si="35"/>
        <v>98.860216144256228</v>
      </c>
    </row>
    <row r="212" spans="1:13" ht="15" thickBot="1" x14ac:dyDescent="0.35">
      <c r="A212" s="60">
        <v>45630</v>
      </c>
      <c r="B212" s="26" vm="211">
        <v>126087.02</v>
      </c>
      <c r="C212" s="26">
        <v>184253.47</v>
      </c>
      <c r="D212" s="68">
        <v>1.7222318000000001</v>
      </c>
      <c r="E212" s="79">
        <f t="shared" si="36"/>
        <v>7.8725555422165527E-4</v>
      </c>
      <c r="F212" s="79">
        <f t="shared" si="28"/>
        <v>-4.1366997729486155E-4</v>
      </c>
      <c r="G212" s="79">
        <f t="shared" si="29"/>
        <v>-3.5751622714616182E-2</v>
      </c>
      <c r="H212" s="79">
        <f t="shared" si="30"/>
        <v>-1.1806793591115028E-2</v>
      </c>
      <c r="I212" s="80" t="str">
        <f t="shared" si="31"/>
        <v>122024</v>
      </c>
      <c r="J212" s="79">
        <f t="shared" si="32"/>
        <v>9.3564063969884259E-3</v>
      </c>
      <c r="K212" s="79">
        <f t="shared" si="33"/>
        <v>3.3356985634271918E-3</v>
      </c>
      <c r="L212" s="81">
        <f t="shared" si="34"/>
        <v>96.424837728538321</v>
      </c>
      <c r="M212" s="82">
        <f t="shared" si="35"/>
        <v>98.819320640888463</v>
      </c>
    </row>
    <row r="213" spans="1:13" ht="15" thickBot="1" x14ac:dyDescent="0.35">
      <c r="A213" s="60">
        <v>45631</v>
      </c>
      <c r="B213" s="26" vm="212">
        <v>127857.58</v>
      </c>
      <c r="C213" s="26">
        <v>195668.35</v>
      </c>
      <c r="D213" s="68">
        <v>1.73545679</v>
      </c>
      <c r="E213" s="79">
        <f t="shared" si="36"/>
        <v>7.678983746554735E-3</v>
      </c>
      <c r="F213" s="79">
        <f t="shared" si="28"/>
        <v>1.4042365344188568E-2</v>
      </c>
      <c r="G213" s="79">
        <f t="shared" si="29"/>
        <v>-2.8347175097799826E-2</v>
      </c>
      <c r="H213" s="79">
        <f t="shared" si="30"/>
        <v>2.0697764439234767E-3</v>
      </c>
      <c r="I213" s="80" t="str">
        <f t="shared" si="31"/>
        <v>122024</v>
      </c>
      <c r="J213" s="79">
        <f t="shared" si="32"/>
        <v>1.7107237836191835E-2</v>
      </c>
      <c r="K213" s="79">
        <f t="shared" si="33"/>
        <v>1.7424905005521518E-2</v>
      </c>
      <c r="L213" s="81">
        <f t="shared" si="34"/>
        <v>97.165282490219951</v>
      </c>
      <c r="M213" s="82">
        <f t="shared" si="35"/>
        <v>100.20697764439234</v>
      </c>
    </row>
    <row r="214" spans="1:13" ht="15" thickBot="1" x14ac:dyDescent="0.35">
      <c r="A214" s="60">
        <v>45632</v>
      </c>
      <c r="B214" s="26">
        <v>125946</v>
      </c>
      <c r="C214" s="26">
        <v>194561.42</v>
      </c>
      <c r="D214" s="68">
        <v>1.7256389999999999</v>
      </c>
      <c r="E214" s="79">
        <f t="shared" si="36"/>
        <v>-5.657179168373383E-3</v>
      </c>
      <c r="F214" s="79">
        <f t="shared" si="28"/>
        <v>-1.4950853911047002E-2</v>
      </c>
      <c r="G214" s="79">
        <f t="shared" si="29"/>
        <v>-3.3843989217727688E-2</v>
      </c>
      <c r="H214" s="79">
        <f t="shared" si="30"/>
        <v>-1.2912022392364997E-2</v>
      </c>
      <c r="I214" s="80" t="str">
        <f t="shared" si="31"/>
        <v>122024</v>
      </c>
      <c r="J214" s="79">
        <f t="shared" si="32"/>
        <v>1.1353279958303153E-2</v>
      </c>
      <c r="K214" s="79">
        <f t="shared" si="33"/>
        <v>2.2135338853230824E-3</v>
      </c>
      <c r="L214" s="81">
        <f t="shared" si="34"/>
        <v>96.615601078227158</v>
      </c>
      <c r="M214" s="82">
        <f t="shared" si="35"/>
        <v>98.708797760763474</v>
      </c>
    </row>
    <row r="215" spans="1:13" ht="15" thickBot="1" x14ac:dyDescent="0.35">
      <c r="A215" s="60">
        <v>45635</v>
      </c>
      <c r="B215" s="26">
        <v>127210</v>
      </c>
      <c r="C215" s="26">
        <v>195382</v>
      </c>
      <c r="D215" s="68">
        <v>1.732917</v>
      </c>
      <c r="E215" s="79">
        <f t="shared" si="36"/>
        <v>4.2175681008600474E-3</v>
      </c>
      <c r="F215" s="79">
        <f t="shared" si="28"/>
        <v>1.0036047194829534E-2</v>
      </c>
      <c r="G215" s="79">
        <f t="shared" si="29"/>
        <v>-2.9769160446198151E-2</v>
      </c>
      <c r="H215" s="79">
        <f t="shared" si="30"/>
        <v>-3.0055608636460063E-3</v>
      </c>
      <c r="I215" s="80" t="str">
        <f t="shared" si="31"/>
        <v>122024</v>
      </c>
      <c r="J215" s="79">
        <f t="shared" si="32"/>
        <v>1.5618731290555576E-2</v>
      </c>
      <c r="K215" s="79">
        <f t="shared" si="33"/>
        <v>1.2271796210693076E-2</v>
      </c>
      <c r="L215" s="81">
        <f t="shared" si="34"/>
        <v>97.023083955380102</v>
      </c>
      <c r="M215" s="82">
        <f t="shared" si="35"/>
        <v>99.699443913635378</v>
      </c>
    </row>
    <row r="216" spans="1:13" ht="15" thickBot="1" x14ac:dyDescent="0.35">
      <c r="A216" s="60">
        <v>45636</v>
      </c>
      <c r="B216" s="26">
        <v>128228</v>
      </c>
      <c r="C216" s="26">
        <v>195944.9</v>
      </c>
      <c r="D216" s="68">
        <v>1.7379089999999999</v>
      </c>
      <c r="E216" s="79">
        <f t="shared" si="36"/>
        <v>2.8806919200399239E-3</v>
      </c>
      <c r="F216" s="79">
        <f t="shared" si="28"/>
        <v>8.002515525509013E-3</v>
      </c>
      <c r="G216" s="79">
        <f t="shared" si="29"/>
        <v>-2.6974224306121841E-2</v>
      </c>
      <c r="H216" s="79">
        <f t="shared" si="30"/>
        <v>4.9729026143887634E-3</v>
      </c>
      <c r="I216" s="80" t="str">
        <f t="shared" si="31"/>
        <v>122024</v>
      </c>
      <c r="J216" s="79">
        <f t="shared" si="32"/>
        <v>1.8544415963625438E-2</v>
      </c>
      <c r="K216" s="79">
        <f t="shared" si="33"/>
        <v>2.0372516975904142E-2</v>
      </c>
      <c r="L216" s="81">
        <f t="shared" si="34"/>
        <v>97.302577569387722</v>
      </c>
      <c r="M216" s="82">
        <f t="shared" si="35"/>
        <v>100.49729026143886</v>
      </c>
    </row>
    <row r="217" spans="1:13" ht="15" thickBot="1" x14ac:dyDescent="0.35">
      <c r="A217" s="60">
        <v>45637</v>
      </c>
      <c r="B217" s="26">
        <v>129593</v>
      </c>
      <c r="C217" s="26">
        <v>197669.31</v>
      </c>
      <c r="D217" s="68">
        <v>1.753204</v>
      </c>
      <c r="E217" s="79">
        <f t="shared" si="36"/>
        <v>8.8008060260922338E-3</v>
      </c>
      <c r="F217" s="79">
        <f t="shared" si="28"/>
        <v>1.0645100913996952E-2</v>
      </c>
      <c r="G217" s="79">
        <f t="shared" si="29"/>
        <v>-1.8410813195852027E-2</v>
      </c>
      <c r="H217" s="79">
        <f t="shared" si="30"/>
        <v>1.567094057855134E-2</v>
      </c>
      <c r="I217" s="80" t="str">
        <f t="shared" si="31"/>
        <v>122024</v>
      </c>
      <c r="J217" s="79">
        <f t="shared" si="32"/>
        <v>2.7508427797480639E-2</v>
      </c>
      <c r="K217" s="79">
        <f t="shared" si="33"/>
        <v>3.1234485388981659E-2</v>
      </c>
      <c r="L217" s="81">
        <f t="shared" si="34"/>
        <v>98.1589186804147</v>
      </c>
      <c r="M217" s="82">
        <f t="shared" si="35"/>
        <v>101.56709405785513</v>
      </c>
    </row>
    <row r="218" spans="1:13" ht="15" thickBot="1" x14ac:dyDescent="0.35">
      <c r="A218" s="60">
        <v>45638</v>
      </c>
      <c r="B218" s="26">
        <v>126042</v>
      </c>
      <c r="C218" s="26">
        <v>194512.29</v>
      </c>
      <c r="D218" s="68">
        <v>1.725203</v>
      </c>
      <c r="E218" s="79">
        <f t="shared" si="36"/>
        <v>-1.597133020458541E-2</v>
      </c>
      <c r="F218" s="79">
        <f t="shared" si="28"/>
        <v>-2.7401171359564214E-2</v>
      </c>
      <c r="G218" s="79">
        <f t="shared" si="29"/>
        <v>-3.4088098223551522E-2</v>
      </c>
      <c r="H218" s="79">
        <f t="shared" si="30"/>
        <v>-1.2159632909171214E-2</v>
      </c>
      <c r="I218" s="80" t="str">
        <f t="shared" si="31"/>
        <v>122024</v>
      </c>
      <c r="J218" s="79">
        <f t="shared" si="32"/>
        <v>1.1097751409132606E-2</v>
      </c>
      <c r="K218" s="79">
        <f t="shared" si="33"/>
        <v>2.9774525429462351E-3</v>
      </c>
      <c r="L218" s="81">
        <f t="shared" si="34"/>
        <v>96.591190177644748</v>
      </c>
      <c r="M218" s="82">
        <f t="shared" si="35"/>
        <v>98.784036709082869</v>
      </c>
    </row>
    <row r="219" spans="1:13" ht="15" thickBot="1" x14ac:dyDescent="0.35">
      <c r="A219" s="60">
        <v>45639</v>
      </c>
      <c r="B219" s="26">
        <v>124612</v>
      </c>
      <c r="C219" s="26">
        <v>194268.53</v>
      </c>
      <c r="D219" s="68">
        <v>1.723041</v>
      </c>
      <c r="E219" s="79">
        <f t="shared" si="36"/>
        <v>-1.2531858569687637E-3</v>
      </c>
      <c r="F219" s="79">
        <f t="shared" si="28"/>
        <v>-1.134542454102605E-2</v>
      </c>
      <c r="G219" s="79">
        <f t="shared" si="29"/>
        <v>-3.5298565357935519E-2</v>
      </c>
      <c r="H219" s="79">
        <f t="shared" si="30"/>
        <v>-2.336710125257957E-2</v>
      </c>
      <c r="I219" s="80" t="str">
        <f t="shared" si="31"/>
        <v>122024</v>
      </c>
      <c r="J219" s="79">
        <f t="shared" si="32"/>
        <v>9.8306580070537386E-3</v>
      </c>
      <c r="K219" s="79">
        <f t="shared" si="33"/>
        <v>-8.4017524612303163E-3</v>
      </c>
      <c r="L219" s="81">
        <f t="shared" si="34"/>
        <v>96.470143464206345</v>
      </c>
      <c r="M219" s="82">
        <f t="shared" si="35"/>
        <v>97.66328987474202</v>
      </c>
    </row>
    <row r="220" spans="1:13" ht="15" thickBot="1" x14ac:dyDescent="0.35">
      <c r="A220" s="60">
        <v>45642</v>
      </c>
      <c r="B220" s="26">
        <v>123560</v>
      </c>
      <c r="C220" s="26">
        <v>193135.8</v>
      </c>
      <c r="D220" s="68">
        <v>1.7129939999999999</v>
      </c>
      <c r="E220" s="79">
        <f t="shared" si="36"/>
        <v>-5.830969779593298E-3</v>
      </c>
      <c r="F220" s="79">
        <f t="shared" si="28"/>
        <v>-8.4422046030879772E-3</v>
      </c>
      <c r="G220" s="79">
        <f t="shared" si="29"/>
        <v>-4.0923710269663682E-2</v>
      </c>
      <c r="H220" s="79">
        <f t="shared" si="30"/>
        <v>-3.1612036005912225E-2</v>
      </c>
      <c r="I220" s="80" t="str">
        <f t="shared" si="31"/>
        <v>122024</v>
      </c>
      <c r="J220" s="79">
        <f t="shared" si="32"/>
        <v>3.9423659577078052E-3</v>
      </c>
      <c r="K220" s="79">
        <f t="shared" si="33"/>
        <v>-1.6773027751016079E-2</v>
      </c>
      <c r="L220" s="81">
        <f t="shared" si="34"/>
        <v>95.907628973033525</v>
      </c>
      <c r="M220" s="82">
        <f t="shared" si="35"/>
        <v>96.838796399408764</v>
      </c>
    </row>
    <row r="221" spans="1:13" ht="15" thickBot="1" x14ac:dyDescent="0.35">
      <c r="A221" s="60">
        <v>45643</v>
      </c>
      <c r="B221" s="26">
        <v>124698</v>
      </c>
      <c r="C221" s="26">
        <v>194208.55</v>
      </c>
      <c r="D221" s="68">
        <v>1.7225090000000001</v>
      </c>
      <c r="E221" s="79">
        <f t="shared" si="36"/>
        <v>5.5546020593184586E-3</v>
      </c>
      <c r="F221" s="79">
        <f t="shared" si="28"/>
        <v>9.2101003561022576E-3</v>
      </c>
      <c r="G221" s="79">
        <f t="shared" si="29"/>
        <v>-3.5596423135684119E-2</v>
      </c>
      <c r="H221" s="79">
        <f t="shared" si="30"/>
        <v>-2.2693085673885172E-2</v>
      </c>
      <c r="I221" s="80" t="str">
        <f t="shared" si="31"/>
        <v>122024</v>
      </c>
      <c r="J221" s="79">
        <f t="shared" si="32"/>
        <v>9.5188662910934418E-3</v>
      </c>
      <c r="K221" s="79">
        <f t="shared" si="33"/>
        <v>-7.7174086637763484E-3</v>
      </c>
      <c r="L221" s="81">
        <f t="shared" si="34"/>
        <v>96.440357686431483</v>
      </c>
      <c r="M221" s="82">
        <f t="shared" si="35"/>
        <v>97.730691432611479</v>
      </c>
    </row>
    <row r="222" spans="1:13" ht="15" thickBot="1" x14ac:dyDescent="0.35">
      <c r="A222" s="60">
        <v>45644</v>
      </c>
      <c r="B222" s="26">
        <v>120771</v>
      </c>
      <c r="C222" s="26">
        <v>190412.6</v>
      </c>
      <c r="D222" s="68">
        <v>1.688841</v>
      </c>
      <c r="E222" s="79">
        <f t="shared" si="36"/>
        <v>-1.9545906581620254E-2</v>
      </c>
      <c r="F222" s="79">
        <f t="shared" si="28"/>
        <v>-3.1492084877063009E-2</v>
      </c>
      <c r="G222" s="79">
        <f t="shared" si="29"/>
        <v>-5.4446565356054411E-2</v>
      </c>
      <c r="H222" s="79">
        <f t="shared" si="30"/>
        <v>-5.3470517970783615E-2</v>
      </c>
      <c r="I222" s="80" t="str">
        <f t="shared" si="31"/>
        <v>122024</v>
      </c>
      <c r="J222" s="79">
        <f t="shared" si="32"/>
        <v>-1.0213095161815455E-2</v>
      </c>
      <c r="K222" s="79">
        <f t="shared" si="33"/>
        <v>-3.8966456252168769E-2</v>
      </c>
      <c r="L222" s="81">
        <f t="shared" si="34"/>
        <v>94.555343464394454</v>
      </c>
      <c r="M222" s="82">
        <f t="shared" si="35"/>
        <v>94.652948202921621</v>
      </c>
    </row>
    <row r="223" spans="1:13" ht="15" thickBot="1" x14ac:dyDescent="0.35">
      <c r="A223" s="60">
        <v>45645</v>
      </c>
      <c r="B223" s="26">
        <v>121188</v>
      </c>
      <c r="C223" s="26">
        <v>190141.87</v>
      </c>
      <c r="D223" s="68">
        <v>1.6864399999999999</v>
      </c>
      <c r="E223" s="79">
        <f t="shared" si="36"/>
        <v>-1.4216850490958999E-3</v>
      </c>
      <c r="F223" s="79">
        <f t="shared" si="28"/>
        <v>3.4528156593884862E-3</v>
      </c>
      <c r="G223" s="79">
        <f t="shared" si="29"/>
        <v>-5.579084453720895E-2</v>
      </c>
      <c r="H223" s="79">
        <f t="shared" si="30"/>
        <v>-5.0202326153160337E-2</v>
      </c>
      <c r="I223" s="80" t="str">
        <f t="shared" si="31"/>
        <v>122024</v>
      </c>
      <c r="J223" s="79">
        <f t="shared" si="32"/>
        <v>-1.1620260406214777E-2</v>
      </c>
      <c r="K223" s="79">
        <f t="shared" si="33"/>
        <v>-3.5648184583118692E-2</v>
      </c>
      <c r="L223" s="81">
        <f t="shared" si="34"/>
        <v>94.420915546278991</v>
      </c>
      <c r="M223" s="82">
        <f t="shared" si="35"/>
        <v>94.979767384683953</v>
      </c>
    </row>
    <row r="224" spans="1:13" ht="15" thickBot="1" x14ac:dyDescent="0.35">
      <c r="A224" s="60">
        <v>45646</v>
      </c>
      <c r="B224" s="26">
        <v>122102</v>
      </c>
      <c r="C224" s="26">
        <v>191693.68</v>
      </c>
      <c r="D224" s="68">
        <v>1.7002029999999999</v>
      </c>
      <c r="E224" s="79">
        <f t="shared" si="36"/>
        <v>8.1609781551670313E-3</v>
      </c>
      <c r="F224" s="79">
        <f t="shared" si="28"/>
        <v>7.5420008581708053E-3</v>
      </c>
      <c r="G224" s="79">
        <f t="shared" si="29"/>
        <v>-4.8085174245568352E-2</v>
      </c>
      <c r="H224" s="79">
        <f t="shared" si="30"/>
        <v>-4.3038951281918925E-2</v>
      </c>
      <c r="I224" s="80" t="str">
        <f t="shared" si="31"/>
        <v>122024</v>
      </c>
      <c r="J224" s="79">
        <f t="shared" si="32"/>
        <v>-3.5541149423802265E-3</v>
      </c>
      <c r="K224" s="79">
        <f t="shared" si="33"/>
        <v>-2.8375042363665948E-2</v>
      </c>
      <c r="L224" s="81">
        <f t="shared" si="34"/>
        <v>95.191482575443047</v>
      </c>
      <c r="M224" s="82">
        <f t="shared" si="35"/>
        <v>95.696104871808103</v>
      </c>
    </row>
    <row r="225" spans="1:13" ht="15" thickBot="1" x14ac:dyDescent="0.35">
      <c r="A225" s="60">
        <v>45649</v>
      </c>
      <c r="B225" s="26">
        <v>120767</v>
      </c>
      <c r="C225" s="26">
        <v>190659.28</v>
      </c>
      <c r="D225" s="68">
        <v>1.6910289999999999</v>
      </c>
      <c r="E225" s="79">
        <f t="shared" si="36"/>
        <v>-5.3958262630992015E-3</v>
      </c>
      <c r="F225" s="79">
        <f t="shared" si="28"/>
        <v>-1.0933481843049209E-2</v>
      </c>
      <c r="G225" s="79">
        <f t="shared" si="29"/>
        <v>-5.3221541262607586E-2</v>
      </c>
      <c r="H225" s="79">
        <f t="shared" si="30"/>
        <v>-5.3501867532583347E-2</v>
      </c>
      <c r="I225" s="80" t="str">
        <f t="shared" si="31"/>
        <v>122024</v>
      </c>
      <c r="J225" s="79">
        <f t="shared" si="32"/>
        <v>-8.9307638187312577E-3</v>
      </c>
      <c r="K225" s="79">
        <f t="shared" si="33"/>
        <v>-3.8998286196236243E-2</v>
      </c>
      <c r="L225" s="81">
        <f t="shared" si="34"/>
        <v>94.677845873739116</v>
      </c>
      <c r="M225" s="82">
        <f t="shared" si="35"/>
        <v>94.649813246741658</v>
      </c>
    </row>
    <row r="226" spans="1:13" ht="15" thickBot="1" x14ac:dyDescent="0.35">
      <c r="A226" s="60">
        <v>45650</v>
      </c>
      <c r="B226" s="26">
        <v>120767</v>
      </c>
      <c r="C226" s="26">
        <v>190651.2</v>
      </c>
      <c r="D226" s="68">
        <v>1.690957</v>
      </c>
      <c r="E226" s="79">
        <f t="shared" si="36"/>
        <v>-4.2577625812389996E-5</v>
      </c>
      <c r="F226" s="79">
        <f t="shared" si="28"/>
        <v>0</v>
      </c>
      <c r="G226" s="79">
        <f t="shared" si="29"/>
        <v>-5.3261852841550827E-2</v>
      </c>
      <c r="H226" s="79">
        <f t="shared" si="30"/>
        <v>-5.3501867532583347E-2</v>
      </c>
      <c r="I226" s="80" t="str">
        <f t="shared" si="31"/>
        <v>122024</v>
      </c>
      <c r="J226" s="79">
        <f t="shared" si="32"/>
        <v>-8.9729611938235143E-3</v>
      </c>
      <c r="K226" s="79">
        <f t="shared" si="33"/>
        <v>-3.8998286196236243E-2</v>
      </c>
      <c r="L226" s="81">
        <f t="shared" si="34"/>
        <v>94.673814715844784</v>
      </c>
      <c r="M226" s="82">
        <f t="shared" si="35"/>
        <v>94.649813246741658</v>
      </c>
    </row>
    <row r="227" spans="1:13" ht="15" thickBot="1" x14ac:dyDescent="0.35">
      <c r="A227" s="60">
        <v>45652</v>
      </c>
      <c r="B227" s="26">
        <v>121078</v>
      </c>
      <c r="C227" s="26">
        <v>191917.63</v>
      </c>
      <c r="D227" s="68">
        <v>1.7021900000000001</v>
      </c>
      <c r="E227" s="79">
        <f t="shared" si="36"/>
        <v>6.6429838251358397E-3</v>
      </c>
      <c r="F227" s="79">
        <f t="shared" si="28"/>
        <v>2.5752068031830166E-3</v>
      </c>
      <c r="G227" s="79">
        <f t="shared" si="29"/>
        <v>-4.6972686643338313E-2</v>
      </c>
      <c r="H227" s="79">
        <f t="shared" si="30"/>
        <v>-5.1064439102653347E-2</v>
      </c>
      <c r="I227" s="80" t="str">
        <f t="shared" si="31"/>
        <v>122024</v>
      </c>
      <c r="J227" s="79">
        <f t="shared" si="32"/>
        <v>-2.3895846047617963E-3</v>
      </c>
      <c r="K227" s="79">
        <f t="shared" si="33"/>
        <v>-3.6523508044978281E-2</v>
      </c>
      <c r="L227" s="81">
        <f t="shared" si="34"/>
        <v>95.302731335666053</v>
      </c>
      <c r="M227" s="82">
        <f t="shared" si="35"/>
        <v>94.893556089734673</v>
      </c>
    </row>
    <row r="228" spans="1:13" ht="15" thickBot="1" x14ac:dyDescent="0.35">
      <c r="A228" s="60">
        <v>45653</v>
      </c>
      <c r="B228" s="26">
        <v>120269</v>
      </c>
      <c r="C228" s="26">
        <v>190668.23</v>
      </c>
      <c r="D228" s="68">
        <v>1.6911080000000001</v>
      </c>
      <c r="E228" s="79">
        <f t="shared" si="36"/>
        <v>-6.5104365552611787E-3</v>
      </c>
      <c r="F228" s="79">
        <f t="shared" si="28"/>
        <v>-6.6816432382431623E-3</v>
      </c>
      <c r="G228" s="79">
        <f t="shared" si="29"/>
        <v>-5.3177310502377839E-2</v>
      </c>
      <c r="H228" s="79">
        <f t="shared" si="30"/>
        <v>-5.7404887976651553E-2</v>
      </c>
      <c r="I228" s="80" t="str">
        <f t="shared" si="31"/>
        <v>122024</v>
      </c>
      <c r="J228" s="79">
        <f t="shared" si="32"/>
        <v>-8.8844639210602372E-3</v>
      </c>
      <c r="K228" s="79">
        <f t="shared" si="33"/>
        <v>-4.2961114232655806E-2</v>
      </c>
      <c r="L228" s="81">
        <f t="shared" si="34"/>
        <v>94.682268949762104</v>
      </c>
      <c r="M228" s="82">
        <f t="shared" si="35"/>
        <v>94.259511202334849</v>
      </c>
    </row>
    <row r="229" spans="1:13" ht="15" thickBot="1" x14ac:dyDescent="0.35">
      <c r="A229" s="60">
        <v>45656</v>
      </c>
      <c r="B229" s="26">
        <v>120283</v>
      </c>
      <c r="C229" s="26">
        <v>190196.73</v>
      </c>
      <c r="D229" s="68">
        <v>1.6869259999999999</v>
      </c>
      <c r="E229" s="79">
        <f t="shared" si="36"/>
        <v>-2.4729349042167392E-3</v>
      </c>
      <c r="F229" s="79">
        <f t="shared" si="28"/>
        <v>1.1640572383564418E-4</v>
      </c>
      <c r="G229" s="79">
        <f t="shared" si="29"/>
        <v>-5.5518741379340875E-2</v>
      </c>
      <c r="H229" s="79">
        <f t="shared" si="30"/>
        <v>-5.7295164510352437E-2</v>
      </c>
      <c r="I229" s="80" t="str">
        <f t="shared" si="31"/>
        <v>122024</v>
      </c>
      <c r="J229" s="79">
        <f t="shared" si="32"/>
        <v>-1.1335428124341296E-2</v>
      </c>
      <c r="K229" s="79">
        <f t="shared" si="33"/>
        <v>-4.2849709428419147E-2</v>
      </c>
      <c r="L229" s="81">
        <f t="shared" si="34"/>
        <v>94.448125862065794</v>
      </c>
      <c r="M229" s="82">
        <f t="shared" si="35"/>
        <v>94.270483548964748</v>
      </c>
    </row>
    <row r="230" spans="1:13" ht="15" thickBot="1" x14ac:dyDescent="0.35">
      <c r="A230" s="60">
        <v>45657</v>
      </c>
      <c r="B230" s="26">
        <v>120283</v>
      </c>
      <c r="C230" s="26">
        <v>190188.72</v>
      </c>
      <c r="D230" s="68">
        <v>1.686855</v>
      </c>
      <c r="E230" s="79">
        <f t="shared" si="36"/>
        <v>-4.2088390362127193E-5</v>
      </c>
      <c r="F230" s="79">
        <f t="shared" si="28"/>
        <v>0</v>
      </c>
      <c r="G230" s="79">
        <f t="shared" si="29"/>
        <v>-5.5558493075243409E-2</v>
      </c>
      <c r="H230" s="79">
        <f t="shared" si="30"/>
        <v>-5.7295164510352437E-2</v>
      </c>
      <c r="I230" s="80" t="str">
        <f t="shared" si="31"/>
        <v>122024</v>
      </c>
      <c r="J230" s="79">
        <f t="shared" si="32"/>
        <v>-1.1377039424779634E-2</v>
      </c>
      <c r="K230" s="79">
        <f t="shared" si="33"/>
        <v>-4.2849709428419147E-2</v>
      </c>
      <c r="L230" s="81">
        <f t="shared" si="34"/>
        <v>94.444150692475546</v>
      </c>
      <c r="M230" s="82">
        <f t="shared" si="35"/>
        <v>94.270483548964748</v>
      </c>
    </row>
    <row r="231" spans="1:13" ht="15" thickBot="1" x14ac:dyDescent="0.35">
      <c r="A231" s="60">
        <v>45659</v>
      </c>
      <c r="B231" s="26">
        <v>120125</v>
      </c>
      <c r="C231" s="26">
        <v>189667.53</v>
      </c>
      <c r="D231" s="68">
        <v>1.6822330000000001</v>
      </c>
      <c r="E231" s="79">
        <f t="shared" si="36"/>
        <v>-2.7400102557717521E-3</v>
      </c>
      <c r="F231" s="79">
        <f t="shared" si="28"/>
        <v>-1.3135688335009776E-3</v>
      </c>
      <c r="G231" s="79">
        <f t="shared" si="29"/>
        <v>-5.8146272490193773E-2</v>
      </c>
      <c r="H231" s="79">
        <f t="shared" si="30"/>
        <v>-5.8533472201442338E-2</v>
      </c>
      <c r="I231" s="80" t="str">
        <f t="shared" si="31"/>
        <v>012025</v>
      </c>
      <c r="J231" s="79">
        <f t="shared" si="32"/>
        <v>-2.7400102557717521E-3</v>
      </c>
      <c r="K231" s="79">
        <f t="shared" si="33"/>
        <v>-1.3135688335009776E-3</v>
      </c>
      <c r="L231" s="81">
        <f t="shared" si="34"/>
        <v>94.185372750980505</v>
      </c>
      <c r="M231" s="82">
        <f t="shared" si="35"/>
        <v>94.146652779855756</v>
      </c>
    </row>
    <row r="232" spans="1:13" ht="15" thickBot="1" x14ac:dyDescent="0.35">
      <c r="A232" s="60">
        <v>45660</v>
      </c>
      <c r="B232" s="26">
        <v>118533</v>
      </c>
      <c r="C232" s="26">
        <v>189169.82</v>
      </c>
      <c r="D232" s="68">
        <v>1.677818</v>
      </c>
      <c r="E232" s="79">
        <f t="shared" si="36"/>
        <v>-2.6244878087637868E-3</v>
      </c>
      <c r="F232" s="79">
        <f t="shared" si="28"/>
        <v>-1.325286160249739E-2</v>
      </c>
      <c r="G232" s="79">
        <f t="shared" si="29"/>
        <v>-6.0618156115681998E-2</v>
      </c>
      <c r="H232" s="79">
        <f t="shared" si="30"/>
        <v>-7.1010597797740327E-2</v>
      </c>
      <c r="I232" s="80" t="str">
        <f t="shared" si="31"/>
        <v>012025</v>
      </c>
      <c r="J232" s="79">
        <f t="shared" si="32"/>
        <v>-5.357306941023432E-3</v>
      </c>
      <c r="K232" s="79">
        <f t="shared" si="33"/>
        <v>-1.454902189004259E-2</v>
      </c>
      <c r="L232" s="81">
        <f t="shared" si="34"/>
        <v>93.938184388431679</v>
      </c>
      <c r="M232" s="82">
        <f t="shared" si="35"/>
        <v>92.898940220225953</v>
      </c>
    </row>
    <row r="233" spans="1:13" ht="15" thickBot="1" x14ac:dyDescent="0.35">
      <c r="A233" s="60">
        <v>45663</v>
      </c>
      <c r="B233" s="26">
        <v>120022</v>
      </c>
      <c r="C233" s="26">
        <v>190143.31</v>
      </c>
      <c r="D233" s="68">
        <v>1.686453</v>
      </c>
      <c r="E233" s="79">
        <f t="shared" si="36"/>
        <v>5.1465653604860773E-3</v>
      </c>
      <c r="F233" s="79">
        <f t="shared" si="28"/>
        <v>1.2561902592526986E-2</v>
      </c>
      <c r="G233" s="79">
        <f t="shared" si="29"/>
        <v>-5.5783566057677425E-2</v>
      </c>
      <c r="H233" s="79">
        <f t="shared" si="30"/>
        <v>-5.9340723417785735E-2</v>
      </c>
      <c r="I233" s="80" t="str">
        <f t="shared" si="31"/>
        <v>012025</v>
      </c>
      <c r="J233" s="79">
        <f t="shared" si="32"/>
        <v>-2.3831331086554552E-4</v>
      </c>
      <c r="K233" s="79">
        <f t="shared" si="33"/>
        <v>-2.1698826933148618E-3</v>
      </c>
      <c r="L233" s="81">
        <f t="shared" si="34"/>
        <v>94.421643394232134</v>
      </c>
      <c r="M233" s="82">
        <f t="shared" si="35"/>
        <v>94.065927658221412</v>
      </c>
    </row>
    <row r="234" spans="1:13" ht="15" thickBot="1" x14ac:dyDescent="0.35">
      <c r="A234" s="60">
        <v>45664</v>
      </c>
      <c r="B234" s="26">
        <v>121163</v>
      </c>
      <c r="C234" s="26">
        <v>190298.22</v>
      </c>
      <c r="D234" s="68">
        <v>1.687827</v>
      </c>
      <c r="E234" s="79">
        <f t="shared" si="36"/>
        <v>8.1472771550705758E-4</v>
      </c>
      <c r="F234" s="79">
        <f t="shared" si="28"/>
        <v>9.5065904584159533E-3</v>
      </c>
      <c r="G234" s="79">
        <f t="shared" si="29"/>
        <v>-5.5014286759507369E-2</v>
      </c>
      <c r="H234" s="79">
        <f t="shared" si="30"/>
        <v>-5.0398260914408799E-2</v>
      </c>
      <c r="I234" s="80" t="str">
        <f t="shared" si="31"/>
        <v>012025</v>
      </c>
      <c r="J234" s="79">
        <f t="shared" si="32"/>
        <v>5.7622024418213513E-4</v>
      </c>
      <c r="K234" s="79">
        <f t="shared" si="33"/>
        <v>7.3160795789930511E-3</v>
      </c>
      <c r="L234" s="81">
        <f t="shared" si="34"/>
        <v>94.498571324049138</v>
      </c>
      <c r="M234" s="82">
        <f t="shared" si="35"/>
        <v>94.960173908559099</v>
      </c>
    </row>
    <row r="235" spans="1:13" ht="15" thickBot="1" x14ac:dyDescent="0.35">
      <c r="A235" s="60">
        <v>45665</v>
      </c>
      <c r="B235" s="26">
        <v>119625</v>
      </c>
      <c r="C235" s="26">
        <v>189721.42</v>
      </c>
      <c r="D235" s="68">
        <v>1.6827110000000001</v>
      </c>
      <c r="E235" s="79">
        <f t="shared" si="36"/>
        <v>-3.0311163407149566E-3</v>
      </c>
      <c r="F235" s="79">
        <f t="shared" ref="F235:F268" si="37">B235/B234-1</f>
        <v>-1.2693644099271206E-2</v>
      </c>
      <c r="G235" s="79">
        <f t="shared" ref="G235:G268" si="38">D235/$D$2-1</f>
        <v>-5.7878648396652799E-2</v>
      </c>
      <c r="H235" s="79">
        <f t="shared" ref="H235:H268" si="39">B235/$B$2-1</f>
        <v>-6.2452167426410243E-2</v>
      </c>
      <c r="I235" s="80" t="str">
        <f t="shared" ref="I235:I268" si="40">TEXT(A235,"mmaaaa")</f>
        <v>012025</v>
      </c>
      <c r="J235" s="79">
        <f t="shared" ref="J235:J268" si="41">IF(I235=I234,(1+E235)*(1+J234)-1,E235)</f>
        <v>-2.4566426871308611E-3</v>
      </c>
      <c r="K235" s="79">
        <f t="shared" ref="K235:K268" si="42">IF(I235=I234,(1+F235)*(1+K234)-1,F235)</f>
        <v>-5.4704322306557973E-3</v>
      </c>
      <c r="L235" s="81">
        <f t="shared" ref="L235:L268" si="43">L234*(1+E235)</f>
        <v>94.212135160334597</v>
      </c>
      <c r="M235" s="82">
        <f t="shared" ref="M235:M268" si="44">M234*(1+F235)</f>
        <v>93.754783257358952</v>
      </c>
    </row>
    <row r="236" spans="1:13" ht="15" thickBot="1" x14ac:dyDescent="0.35">
      <c r="A236" s="60">
        <v>45666</v>
      </c>
      <c r="B236" s="26">
        <v>119781</v>
      </c>
      <c r="C236" s="26">
        <v>190414.22</v>
      </c>
      <c r="D236" s="68">
        <v>1.688855</v>
      </c>
      <c r="E236" s="79">
        <f t="shared" si="36"/>
        <v>3.6512508683903544E-3</v>
      </c>
      <c r="F236" s="79">
        <f t="shared" si="37"/>
        <v>1.3040752351096696E-3</v>
      </c>
      <c r="G236" s="79">
        <f t="shared" si="38"/>
        <v>-5.4438726993482067E-2</v>
      </c>
      <c r="H236" s="79">
        <f t="shared" si="39"/>
        <v>-6.1229534516220263E-2</v>
      </c>
      <c r="I236" s="80" t="str">
        <f t="shared" si="40"/>
        <v>012025</v>
      </c>
      <c r="J236" s="79">
        <f t="shared" si="41"/>
        <v>1.1856383625148403E-3</v>
      </c>
      <c r="K236" s="79">
        <f t="shared" si="42"/>
        <v>-4.1734908507434776E-3</v>
      </c>
      <c r="L236" s="81">
        <f t="shared" si="43"/>
        <v>94.556127300651681</v>
      </c>
      <c r="M236" s="82">
        <f t="shared" si="44"/>
        <v>93.877046548377947</v>
      </c>
    </row>
    <row r="237" spans="1:13" ht="15" thickBot="1" x14ac:dyDescent="0.35">
      <c r="A237" s="60">
        <v>45667</v>
      </c>
      <c r="B237" s="26">
        <v>118856</v>
      </c>
      <c r="C237" s="26">
        <v>189271.59</v>
      </c>
      <c r="D237" s="68">
        <v>1.6787209999999999</v>
      </c>
      <c r="E237" s="79">
        <f t="shared" si="36"/>
        <v>-6.0005151419156855E-3</v>
      </c>
      <c r="F237" s="79">
        <f t="shared" si="37"/>
        <v>-7.7224267621742726E-3</v>
      </c>
      <c r="G237" s="79">
        <f t="shared" si="38"/>
        <v>-6.0112581729766745E-2</v>
      </c>
      <c r="H237" s="79">
        <f t="shared" si="39"/>
        <v>-6.8479120682411021E-2</v>
      </c>
      <c r="I237" s="80" t="str">
        <f t="shared" si="40"/>
        <v>012025</v>
      </c>
      <c r="J237" s="79">
        <f t="shared" si="41"/>
        <v>-4.8219912203479876E-3</v>
      </c>
      <c r="K237" s="79">
        <f t="shared" si="42"/>
        <v>-1.1863688135480333E-2</v>
      </c>
      <c r="L237" s="81">
        <f t="shared" si="43"/>
        <v>93.988741827023219</v>
      </c>
      <c r="M237" s="82">
        <f t="shared" si="44"/>
        <v>93.152087931758871</v>
      </c>
    </row>
    <row r="238" spans="1:13" ht="15" thickBot="1" x14ac:dyDescent="0.35">
      <c r="A238" s="60">
        <v>45670</v>
      </c>
      <c r="B238" s="26">
        <v>119007</v>
      </c>
      <c r="C238" s="26">
        <v>189075.79</v>
      </c>
      <c r="D238" s="68">
        <v>1.676984</v>
      </c>
      <c r="E238" s="79">
        <f t="shared" si="36"/>
        <v>-1.034716310810313E-3</v>
      </c>
      <c r="F238" s="79">
        <f t="shared" si="37"/>
        <v>1.2704449081242242E-3</v>
      </c>
      <c r="G238" s="79">
        <f t="shared" si="38"/>
        <v>-6.1085098571776464E-2</v>
      </c>
      <c r="H238" s="79">
        <f t="shared" si="39"/>
        <v>-6.7295674724470733E-2</v>
      </c>
      <c r="I238" s="80" t="str">
        <f t="shared" si="40"/>
        <v>012025</v>
      </c>
      <c r="J238" s="79">
        <f t="shared" si="41"/>
        <v>-5.8517181381920746E-3</v>
      </c>
      <c r="K238" s="79">
        <f t="shared" si="42"/>
        <v>-1.0608315389539436E-2</v>
      </c>
      <c r="L238" s="81">
        <f t="shared" si="43"/>
        <v>93.891490142822263</v>
      </c>
      <c r="M238" s="82">
        <f t="shared" si="44"/>
        <v>93.270432527552913</v>
      </c>
    </row>
    <row r="239" spans="1:13" ht="15" thickBot="1" x14ac:dyDescent="0.35">
      <c r="A239" s="60">
        <v>45671</v>
      </c>
      <c r="B239" s="26">
        <v>119299</v>
      </c>
      <c r="C239" s="26">
        <v>189614.74</v>
      </c>
      <c r="D239" s="68">
        <v>1.681765</v>
      </c>
      <c r="E239" s="79">
        <f t="shared" si="36"/>
        <v>2.8509514700199023E-3</v>
      </c>
      <c r="F239" s="79">
        <f t="shared" si="37"/>
        <v>2.4536371810062185E-3</v>
      </c>
      <c r="G239" s="79">
        <f t="shared" si="38"/>
        <v>-5.8408297753326011E-2</v>
      </c>
      <c r="H239" s="79">
        <f t="shared" si="39"/>
        <v>-6.5007156713089431E-2</v>
      </c>
      <c r="I239" s="80" t="str">
        <f t="shared" si="40"/>
        <v>012025</v>
      </c>
      <c r="J239" s="79">
        <f t="shared" si="41"/>
        <v>-3.0174496326004219E-3</v>
      </c>
      <c r="K239" s="79">
        <f t="shared" si="42"/>
        <v>-8.1807071656008201E-3</v>
      </c>
      <c r="L239" s="81">
        <f t="shared" si="43"/>
        <v>94.159170224667307</v>
      </c>
      <c r="M239" s="82">
        <f t="shared" si="44"/>
        <v>93.499284328691047</v>
      </c>
    </row>
    <row r="240" spans="1:13" ht="15" thickBot="1" x14ac:dyDescent="0.35">
      <c r="A240" s="60">
        <v>45672</v>
      </c>
      <c r="B240" s="26">
        <v>122650</v>
      </c>
      <c r="C240" s="26">
        <v>193622.13</v>
      </c>
      <c r="D240" s="68">
        <v>1.7173080000000001</v>
      </c>
      <c r="E240" s="79">
        <f t="shared" si="36"/>
        <v>2.1134343977904146E-2</v>
      </c>
      <c r="F240" s="79">
        <f t="shared" si="37"/>
        <v>2.8089087083714048E-2</v>
      </c>
      <c r="G240" s="79">
        <f t="shared" si="38"/>
        <v>-3.8508374831304426E-2</v>
      </c>
      <c r="H240" s="79">
        <f t="shared" si="39"/>
        <v>-3.8744061315354017E-2</v>
      </c>
      <c r="I240" s="80" t="str">
        <f t="shared" si="40"/>
        <v>012025</v>
      </c>
      <c r="J240" s="79">
        <f t="shared" si="41"/>
        <v>1.8053122526832333E-2</v>
      </c>
      <c r="K240" s="79">
        <f t="shared" si="42"/>
        <v>1.9678591322132233E-2</v>
      </c>
      <c r="L240" s="81">
        <f t="shared" si="43"/>
        <v>96.149162516869453</v>
      </c>
      <c r="M240" s="82">
        <f t="shared" si="44"/>
        <v>96.125593868464591</v>
      </c>
    </row>
    <row r="241" spans="1:13" ht="15" thickBot="1" x14ac:dyDescent="0.35">
      <c r="A241" s="60">
        <v>45673</v>
      </c>
      <c r="B241" s="26">
        <v>121234</v>
      </c>
      <c r="C241" s="26">
        <v>192816.65</v>
      </c>
      <c r="D241" s="68">
        <v>1.7101630000000001</v>
      </c>
      <c r="E241" s="79">
        <f t="shared" si="36"/>
        <v>-4.1605815613738883E-3</v>
      </c>
      <c r="F241" s="79">
        <f t="shared" si="37"/>
        <v>-1.1545046881369703E-2</v>
      </c>
      <c r="G241" s="79">
        <f t="shared" si="38"/>
        <v>-4.2508739158396813E-2</v>
      </c>
      <c r="H241" s="79">
        <f t="shared" si="39"/>
        <v>-4.9841806192463256E-2</v>
      </c>
      <c r="I241" s="80" t="str">
        <f t="shared" si="40"/>
        <v>012025</v>
      </c>
      <c r="J241" s="79">
        <f t="shared" si="41"/>
        <v>1.3817429476748133E-2</v>
      </c>
      <c r="K241" s="79">
        <f t="shared" si="42"/>
        <v>7.9063541813892968E-3</v>
      </c>
      <c r="L241" s="81">
        <f t="shared" si="43"/>
        <v>95.749126084160224</v>
      </c>
      <c r="M241" s="82">
        <f t="shared" si="44"/>
        <v>95.015819380753669</v>
      </c>
    </row>
    <row r="242" spans="1:13" ht="15" thickBot="1" x14ac:dyDescent="0.35">
      <c r="A242" s="60">
        <v>45674</v>
      </c>
      <c r="B242" s="26">
        <v>122350</v>
      </c>
      <c r="C242" s="26">
        <v>194729.05</v>
      </c>
      <c r="D242" s="68">
        <v>1.727125</v>
      </c>
      <c r="E242" s="79">
        <f t="shared" si="36"/>
        <v>9.9183528119832776E-3</v>
      </c>
      <c r="F242" s="79">
        <f t="shared" si="37"/>
        <v>9.205338436412136E-3</v>
      </c>
      <c r="G242" s="79">
        <f t="shared" si="38"/>
        <v>-3.3012003018978997E-2</v>
      </c>
      <c r="H242" s="79">
        <f t="shared" si="39"/>
        <v>-4.1095278450334782E-2</v>
      </c>
      <c r="I242" s="80" t="str">
        <f t="shared" si="40"/>
        <v>012025</v>
      </c>
      <c r="J242" s="79">
        <f t="shared" si="41"/>
        <v>2.3872828429236437E-2</v>
      </c>
      <c r="K242" s="79">
        <f t="shared" si="42"/>
        <v>1.7184473283839319E-2</v>
      </c>
      <c r="L242" s="81">
        <f t="shared" si="43"/>
        <v>96.698799698101993</v>
      </c>
      <c r="M242" s="82">
        <f t="shared" si="44"/>
        <v>95.890472154966517</v>
      </c>
    </row>
    <row r="243" spans="1:13" ht="15" thickBot="1" x14ac:dyDescent="0.35">
      <c r="A243" s="60">
        <v>45677</v>
      </c>
      <c r="B243" s="26">
        <v>122855</v>
      </c>
      <c r="C243" s="26">
        <v>194249.17</v>
      </c>
      <c r="D243" s="68">
        <v>1.722869</v>
      </c>
      <c r="E243" s="79">
        <f t="shared" si="36"/>
        <v>-2.4642107548672465E-3</v>
      </c>
      <c r="F243" s="79">
        <f t="shared" si="37"/>
        <v>4.1275030649774447E-3</v>
      </c>
      <c r="G243" s="79">
        <f t="shared" si="38"/>
        <v>-3.5394865240967133E-2</v>
      </c>
      <c r="H243" s="79">
        <f t="shared" si="39"/>
        <v>-3.7137396273117074E-2</v>
      </c>
      <c r="I243" s="80" t="str">
        <f t="shared" si="40"/>
        <v>012025</v>
      </c>
      <c r="J243" s="79">
        <f t="shared" si="41"/>
        <v>2.1349789993804658E-2</v>
      </c>
      <c r="K243" s="79">
        <f t="shared" si="42"/>
        <v>2.1382905314965894E-2</v>
      </c>
      <c r="L243" s="81">
        <f t="shared" si="43"/>
        <v>96.46051347590317</v>
      </c>
      <c r="M243" s="82">
        <f t="shared" si="44"/>
        <v>96.286260372688275</v>
      </c>
    </row>
    <row r="244" spans="1:13" ht="15" thickBot="1" x14ac:dyDescent="0.35">
      <c r="A244" s="60">
        <v>45678</v>
      </c>
      <c r="B244" s="26">
        <v>123338</v>
      </c>
      <c r="C244" s="26">
        <v>194748.27</v>
      </c>
      <c r="D244" s="68">
        <v>1.7272959999999999</v>
      </c>
      <c r="E244" s="79">
        <f t="shared" si="36"/>
        <v>2.5695511382466396E-3</v>
      </c>
      <c r="F244" s="79">
        <f t="shared" si="37"/>
        <v>3.9314639208822832E-3</v>
      </c>
      <c r="G244" s="79">
        <f t="shared" si="38"/>
        <v>-3.2916263018988423E-2</v>
      </c>
      <c r="H244" s="79">
        <f t="shared" si="39"/>
        <v>-3.3351936685798056E-2</v>
      </c>
      <c r="I244" s="80" t="str">
        <f t="shared" si="40"/>
        <v>012025</v>
      </c>
      <c r="J244" s="79">
        <f t="shared" si="41"/>
        <v>2.3974200509231158E-2</v>
      </c>
      <c r="K244" s="79">
        <f t="shared" si="42"/>
        <v>2.5398435356617677E-2</v>
      </c>
      <c r="L244" s="81">
        <f t="shared" si="43"/>
        <v>96.708373698101028</v>
      </c>
      <c r="M244" s="82">
        <f t="shared" si="44"/>
        <v>96.664806331420181</v>
      </c>
    </row>
    <row r="245" spans="1:13" ht="15" thickBot="1" x14ac:dyDescent="0.35">
      <c r="A245" s="60">
        <v>45679</v>
      </c>
      <c r="B245" s="26">
        <v>122972</v>
      </c>
      <c r="C245" s="26">
        <v>194725.78</v>
      </c>
      <c r="D245" s="68">
        <v>1.727096</v>
      </c>
      <c r="E245" s="79">
        <f t="shared" si="36"/>
        <v>-1.1578791359445617E-4</v>
      </c>
      <c r="F245" s="79">
        <f t="shared" si="37"/>
        <v>-2.9674552854757064E-3</v>
      </c>
      <c r="G245" s="79">
        <f t="shared" si="38"/>
        <v>-3.3028239627164502E-2</v>
      </c>
      <c r="H245" s="79">
        <f t="shared" si="39"/>
        <v>-3.6220421590474561E-2</v>
      </c>
      <c r="I245" s="80" t="str">
        <f t="shared" si="40"/>
        <v>012025</v>
      </c>
      <c r="J245" s="79">
        <f t="shared" si="41"/>
        <v>2.385563667297963E-2</v>
      </c>
      <c r="K245" s="79">
        <f t="shared" si="42"/>
        <v>2.2355611349900162E-2</v>
      </c>
      <c r="L245" s="81">
        <f t="shared" si="43"/>
        <v>96.697176037283413</v>
      </c>
      <c r="M245" s="82">
        <f t="shared" si="44"/>
        <v>96.377957840952519</v>
      </c>
    </row>
    <row r="246" spans="1:13" ht="15" thickBot="1" x14ac:dyDescent="0.35">
      <c r="A246" s="60">
        <v>45680</v>
      </c>
      <c r="B246" s="26">
        <v>122483</v>
      </c>
      <c r="C246" s="26">
        <v>194597.19</v>
      </c>
      <c r="D246" s="68">
        <v>1.725956</v>
      </c>
      <c r="E246" s="79">
        <f t="shared" si="36"/>
        <v>-6.6006753533098816E-4</v>
      </c>
      <c r="F246" s="79">
        <f t="shared" si="37"/>
        <v>-3.9765149790196297E-3</v>
      </c>
      <c r="G246" s="79">
        <f t="shared" si="38"/>
        <v>-3.3666506293768439E-2</v>
      </c>
      <c r="H246" s="79">
        <f t="shared" si="39"/>
        <v>-4.0052905520493343E-2</v>
      </c>
      <c r="I246" s="80" t="str">
        <f t="shared" si="40"/>
        <v>012025</v>
      </c>
      <c r="J246" s="79">
        <f t="shared" si="41"/>
        <v>2.3179822806346229E-2</v>
      </c>
      <c r="K246" s="79">
        <f t="shared" si="42"/>
        <v>1.8290198947482406E-2</v>
      </c>
      <c r="L246" s="81">
        <f t="shared" si="43"/>
        <v>96.633349370623023</v>
      </c>
      <c r="M246" s="82">
        <f t="shared" si="44"/>
        <v>95.994709447950655</v>
      </c>
    </row>
    <row r="247" spans="1:13" ht="15" thickBot="1" x14ac:dyDescent="0.35">
      <c r="A247" s="60">
        <v>45681</v>
      </c>
      <c r="B247" s="26">
        <v>122447</v>
      </c>
      <c r="C247" s="26">
        <v>115428.73</v>
      </c>
      <c r="D247" s="68">
        <v>1.7247189999999999</v>
      </c>
      <c r="E247" s="79">
        <f t="shared" si="36"/>
        <v>-7.1670424970282642E-4</v>
      </c>
      <c r="F247" s="79">
        <f t="shared" si="37"/>
        <v>-2.9391833968794856E-4</v>
      </c>
      <c r="G247" s="79">
        <f t="shared" si="38"/>
        <v>-3.435908161533785E-2</v>
      </c>
      <c r="H247" s="79">
        <f t="shared" si="39"/>
        <v>-4.0335051576690928E-2</v>
      </c>
      <c r="I247" s="80" t="str">
        <f t="shared" si="40"/>
        <v>012025</v>
      </c>
      <c r="J247" s="79">
        <f t="shared" si="41"/>
        <v>2.2446505479130741E-2</v>
      </c>
      <c r="K247" s="79">
        <f t="shared" si="42"/>
        <v>1.7990904782887229E-2</v>
      </c>
      <c r="L247" s="81">
        <f t="shared" si="43"/>
        <v>96.564091838466084</v>
      </c>
      <c r="M247" s="82">
        <f t="shared" si="44"/>
        <v>95.966494842330889</v>
      </c>
    </row>
    <row r="248" spans="1:13" ht="15" thickBot="1" x14ac:dyDescent="0.35">
      <c r="A248" s="60">
        <v>45684</v>
      </c>
      <c r="B248" s="26">
        <v>124862</v>
      </c>
      <c r="C248" s="26">
        <v>116666.32</v>
      </c>
      <c r="D248" s="68">
        <v>1.7432110000000001</v>
      </c>
      <c r="E248" s="79">
        <f t="shared" si="36"/>
        <v>1.0721746556975553E-2</v>
      </c>
      <c r="F248" s="79">
        <f t="shared" si="37"/>
        <v>1.9722818852238033E-2</v>
      </c>
      <c r="G248" s="79">
        <f t="shared" si="38"/>
        <v>-2.4005724423372565E-2</v>
      </c>
      <c r="H248" s="79">
        <f t="shared" si="39"/>
        <v>-2.1407753640095617E-2</v>
      </c>
      <c r="I248" s="80" t="str">
        <f t="shared" si="40"/>
        <v>012025</v>
      </c>
      <c r="J248" s="79">
        <f t="shared" si="41"/>
        <v>3.3408917778943392E-2</v>
      </c>
      <c r="K248" s="79">
        <f t="shared" si="42"/>
        <v>3.806855499114592E-2</v>
      </c>
      <c r="L248" s="81">
        <f t="shared" si="43"/>
        <v>97.599427557662622</v>
      </c>
      <c r="M248" s="82">
        <f t="shared" si="44"/>
        <v>97.859224635990415</v>
      </c>
    </row>
    <row r="249" spans="1:13" ht="15" thickBot="1" x14ac:dyDescent="0.35">
      <c r="A249" s="60">
        <v>45685</v>
      </c>
      <c r="B249" s="26">
        <v>124056</v>
      </c>
      <c r="C249" s="26">
        <v>116427.47</v>
      </c>
      <c r="D249" s="68">
        <v>1.7396419999999999</v>
      </c>
      <c r="E249" s="79">
        <f t="shared" si="36"/>
        <v>-2.0473712017651247E-3</v>
      </c>
      <c r="F249" s="79">
        <f t="shared" si="37"/>
        <v>-6.4551264596114377E-3</v>
      </c>
      <c r="G249" s="79">
        <f t="shared" si="38"/>
        <v>-2.6003946996275729E-2</v>
      </c>
      <c r="H249" s="79">
        <f t="shared" si="39"/>
        <v>-2.7724690342744052E-2</v>
      </c>
      <c r="I249" s="80" t="str">
        <f t="shared" si="40"/>
        <v>012025</v>
      </c>
      <c r="J249" s="79">
        <f t="shared" si="41"/>
        <v>3.1293146121035509E-2</v>
      </c>
      <c r="K249" s="79">
        <f t="shared" si="42"/>
        <v>3.1367691194931879E-2</v>
      </c>
      <c r="L249" s="81">
        <f t="shared" si="43"/>
        <v>97.399605300372301</v>
      </c>
      <c r="M249" s="82">
        <f t="shared" si="44"/>
        <v>97.227530965725578</v>
      </c>
    </row>
    <row r="250" spans="1:13" ht="15" thickBot="1" x14ac:dyDescent="0.35">
      <c r="A250" s="60">
        <v>45686</v>
      </c>
      <c r="B250" s="26">
        <v>123432</v>
      </c>
      <c r="C250" s="26">
        <v>115774.93</v>
      </c>
      <c r="D250" s="68">
        <v>1.729892</v>
      </c>
      <c r="E250" s="79">
        <f t="shared" si="36"/>
        <v>-5.6046014064962124E-3</v>
      </c>
      <c r="F250" s="79">
        <f t="shared" si="37"/>
        <v>-5.0299864577287856E-3</v>
      </c>
      <c r="G250" s="79">
        <f t="shared" si="38"/>
        <v>-3.1462806644862118E-2</v>
      </c>
      <c r="H250" s="79">
        <f t="shared" si="39"/>
        <v>-3.2615221983504084E-2</v>
      </c>
      <c r="I250" s="80" t="str">
        <f t="shared" si="40"/>
        <v>012025</v>
      </c>
      <c r="J250" s="79">
        <f t="shared" si="41"/>
        <v>2.5513159103775607E-2</v>
      </c>
      <c r="K250" s="79">
        <f t="shared" si="42"/>
        <v>2.6179925675282378E-2</v>
      </c>
      <c r="L250" s="81">
        <f t="shared" si="43"/>
        <v>96.853719335513659</v>
      </c>
      <c r="M250" s="82">
        <f t="shared" si="44"/>
        <v>96.738477801649566</v>
      </c>
    </row>
    <row r="251" spans="1:13" ht="15" thickBot="1" x14ac:dyDescent="0.35">
      <c r="A251" s="60">
        <v>45687</v>
      </c>
      <c r="B251" s="26">
        <v>126912</v>
      </c>
      <c r="C251" s="26">
        <v>117435.79</v>
      </c>
      <c r="D251" s="68">
        <v>1.7547079999999999</v>
      </c>
      <c r="E251" s="79">
        <f t="shared" si="36"/>
        <v>1.4345404221766334E-2</v>
      </c>
      <c r="F251" s="79">
        <f t="shared" si="37"/>
        <v>2.8193661287186478E-2</v>
      </c>
      <c r="G251" s="79">
        <f t="shared" si="38"/>
        <v>-1.7568749102367609E-2</v>
      </c>
      <c r="H251" s="79">
        <f t="shared" si="39"/>
        <v>-5.3411032177268503E-3</v>
      </c>
      <c r="I251" s="80" t="str">
        <f t="shared" si="40"/>
        <v>012025</v>
      </c>
      <c r="J251" s="79">
        <f t="shared" si="41"/>
        <v>4.0224559905859936E-2</v>
      </c>
      <c r="K251" s="79">
        <f t="shared" si="42"/>
        <v>5.5111694919481424E-2</v>
      </c>
      <c r="L251" s="81">
        <f t="shared" si="43"/>
        <v>98.243125089763112</v>
      </c>
      <c r="M251" s="82">
        <f t="shared" si="44"/>
        <v>99.465889678227285</v>
      </c>
    </row>
    <row r="252" spans="1:13" ht="15" thickBot="1" x14ac:dyDescent="0.35">
      <c r="A252" s="60">
        <v>45688</v>
      </c>
      <c r="B252" s="26">
        <v>126135</v>
      </c>
      <c r="C252" s="26">
        <v>116861.75999999999</v>
      </c>
      <c r="D252" s="68">
        <v>1.7461310000000001</v>
      </c>
      <c r="E252" s="79">
        <f t="shared" si="36"/>
        <v>-4.8879927600489204E-3</v>
      </c>
      <c r="F252" s="79">
        <f t="shared" si="37"/>
        <v>-6.1223524962178422E-3</v>
      </c>
      <c r="G252" s="79">
        <f t="shared" si="38"/>
        <v>-2.2370865944000951E-2</v>
      </c>
      <c r="H252" s="79">
        <f t="shared" si="39"/>
        <v>-1.1430755597327091E-2</v>
      </c>
      <c r="I252" s="80" t="str">
        <f t="shared" si="40"/>
        <v>012025</v>
      </c>
      <c r="J252" s="79">
        <f t="shared" si="41"/>
        <v>3.5139949788214997E-2</v>
      </c>
      <c r="K252" s="79">
        <f t="shared" si="42"/>
        <v>4.8651929200302479E-2</v>
      </c>
      <c r="L252" s="81">
        <f t="shared" si="43"/>
        <v>97.762913405599775</v>
      </c>
      <c r="M252" s="82">
        <f t="shared" si="44"/>
        <v>98.856924440267264</v>
      </c>
    </row>
    <row r="253" spans="1:13" ht="15" thickBot="1" x14ac:dyDescent="0.35">
      <c r="A253" s="60">
        <v>45691</v>
      </c>
      <c r="B253" s="26">
        <v>125970</v>
      </c>
      <c r="C253" s="26">
        <v>116473.55</v>
      </c>
      <c r="D253" s="68">
        <v>1.7403299999999999</v>
      </c>
      <c r="E253" s="79">
        <f t="shared" si="36"/>
        <v>-3.3222020570049526E-3</v>
      </c>
      <c r="F253" s="79">
        <f t="shared" si="37"/>
        <v>-1.3081222499702339E-3</v>
      </c>
      <c r="G253" s="79">
        <f t="shared" si="38"/>
        <v>-2.5618747464149827E-2</v>
      </c>
      <c r="H253" s="79">
        <f t="shared" si="39"/>
        <v>-1.2723925021566607E-2</v>
      </c>
      <c r="I253" s="80" t="str">
        <f t="shared" si="40"/>
        <v>022025</v>
      </c>
      <c r="J253" s="79">
        <f t="shared" si="41"/>
        <v>-3.3222020570049526E-3</v>
      </c>
      <c r="K253" s="79">
        <f t="shared" si="42"/>
        <v>-1.3081222499702339E-3</v>
      </c>
      <c r="L253" s="81">
        <f t="shared" si="43"/>
        <v>97.4381252535849</v>
      </c>
      <c r="M253" s="82">
        <f t="shared" si="44"/>
        <v>98.727607497843323</v>
      </c>
    </row>
    <row r="254" spans="1:13" ht="15" thickBot="1" x14ac:dyDescent="0.35">
      <c r="A254" s="60">
        <v>45692</v>
      </c>
      <c r="B254" s="26">
        <v>125147</v>
      </c>
      <c r="C254" s="26">
        <v>116214.28</v>
      </c>
      <c r="D254" s="68">
        <v>1.736456</v>
      </c>
      <c r="E254" s="79">
        <f t="shared" si="36"/>
        <v>-2.2260146064251307E-3</v>
      </c>
      <c r="F254" s="79">
        <f t="shared" si="37"/>
        <v>-6.5333015797411909E-3</v>
      </c>
      <c r="G254" s="79">
        <f t="shared" si="38"/>
        <v>-2.7787734364521421E-2</v>
      </c>
      <c r="H254" s="79">
        <f t="shared" si="39"/>
        <v>-1.9174097361863929E-2</v>
      </c>
      <c r="I254" s="80" t="str">
        <f t="shared" si="40"/>
        <v>022025</v>
      </c>
      <c r="J254" s="79">
        <f t="shared" si="41"/>
        <v>-5.5408213931257277E-3</v>
      </c>
      <c r="K254" s="79">
        <f t="shared" si="42"/>
        <v>-7.8328774725492378E-3</v>
      </c>
      <c r="L254" s="81">
        <f t="shared" si="43"/>
        <v>97.221226563547745</v>
      </c>
      <c r="M254" s="82">
        <f t="shared" si="44"/>
        <v>98.0825902638136</v>
      </c>
    </row>
    <row r="255" spans="1:13" ht="15" thickBot="1" x14ac:dyDescent="0.35">
      <c r="A255" s="60">
        <v>45693</v>
      </c>
      <c r="B255" s="26">
        <v>125534</v>
      </c>
      <c r="C255" s="26">
        <v>116326.51</v>
      </c>
      <c r="D255" s="68">
        <v>1.7381329999999999</v>
      </c>
      <c r="E255" s="79">
        <f t="shared" si="36"/>
        <v>9.6576014595251003E-4</v>
      </c>
      <c r="F255" s="79">
        <f t="shared" si="37"/>
        <v>3.0923633806643203E-3</v>
      </c>
      <c r="G255" s="79">
        <f t="shared" si="38"/>
        <v>-2.6848810504964571E-2</v>
      </c>
      <c r="H255" s="79">
        <f t="shared" si="39"/>
        <v>-1.6141027257738694E-2</v>
      </c>
      <c r="I255" s="80" t="str">
        <f t="shared" si="40"/>
        <v>022025</v>
      </c>
      <c r="J255" s="79">
        <f t="shared" si="41"/>
        <v>-4.5804123516505202E-3</v>
      </c>
      <c r="K255" s="79">
        <f t="shared" si="42"/>
        <v>-4.7647361953462308E-3</v>
      </c>
      <c r="L255" s="81">
        <f t="shared" si="43"/>
        <v>97.315118949503443</v>
      </c>
      <c r="M255" s="82">
        <f t="shared" si="44"/>
        <v>98.385897274226124</v>
      </c>
    </row>
    <row r="256" spans="1:13" ht="15" thickBot="1" x14ac:dyDescent="0.35">
      <c r="A256" s="60">
        <v>45694</v>
      </c>
      <c r="B256" s="26">
        <v>126225</v>
      </c>
      <c r="C256" s="26">
        <v>116888.31</v>
      </c>
      <c r="D256" s="68">
        <v>1.7465280000000001</v>
      </c>
      <c r="E256" s="79">
        <f t="shared" si="36"/>
        <v>4.8298950655676354E-3</v>
      </c>
      <c r="F256" s="79">
        <f t="shared" si="37"/>
        <v>5.5044848407603819E-3</v>
      </c>
      <c r="G256" s="79">
        <f t="shared" si="38"/>
        <v>-2.2148592376771359E-2</v>
      </c>
      <c r="H256" s="79">
        <f t="shared" si="39"/>
        <v>-1.0725390456832962E-2</v>
      </c>
      <c r="I256" s="80" t="str">
        <f t="shared" si="40"/>
        <v>022025</v>
      </c>
      <c r="J256" s="79">
        <f t="shared" si="41"/>
        <v>2.2735980290167213E-4</v>
      </c>
      <c r="K256" s="79">
        <f t="shared" si="42"/>
        <v>7.1352122725665268E-4</v>
      </c>
      <c r="L256" s="81">
        <f t="shared" si="43"/>
        <v>97.785140762322783</v>
      </c>
      <c r="M256" s="82">
        <f t="shared" si="44"/>
        <v>98.927460954316714</v>
      </c>
    </row>
    <row r="257" spans="1:13" ht="15" thickBot="1" x14ac:dyDescent="0.35">
      <c r="A257" s="60">
        <v>45695</v>
      </c>
      <c r="B257" s="26">
        <v>124619</v>
      </c>
      <c r="C257" s="26">
        <v>116426.21</v>
      </c>
      <c r="D257" s="68">
        <v>1.7343930000000001</v>
      </c>
      <c r="E257" s="79">
        <f t="shared" si="36"/>
        <v>-6.9480706865278075E-3</v>
      </c>
      <c r="F257" s="79">
        <f t="shared" si="37"/>
        <v>-1.2723311546840921E-2</v>
      </c>
      <c r="G257" s="79">
        <f t="shared" si="38"/>
        <v>-2.8942773077858197E-2</v>
      </c>
      <c r="H257" s="79">
        <f t="shared" si="39"/>
        <v>-2.3312239519430067E-2</v>
      </c>
      <c r="I257" s="80" t="str">
        <f t="shared" si="40"/>
        <v>022025</v>
      </c>
      <c r="J257" s="79">
        <f t="shared" si="41"/>
        <v>-6.722290595607916E-3</v>
      </c>
      <c r="K257" s="79">
        <f t="shared" si="42"/>
        <v>-1.2018868672453942E-2</v>
      </c>
      <c r="L257" s="81">
        <f t="shared" si="43"/>
        <v>97.105722692214087</v>
      </c>
      <c r="M257" s="82">
        <f t="shared" si="44"/>
        <v>97.668776048056998</v>
      </c>
    </row>
    <row r="258" spans="1:13" ht="15" thickBot="1" x14ac:dyDescent="0.35">
      <c r="A258" s="60">
        <v>45698</v>
      </c>
      <c r="B258" s="26">
        <v>125572</v>
      </c>
      <c r="C258" s="26">
        <v>117806.27</v>
      </c>
      <c r="D258" s="68">
        <v>1.7400549999999999</v>
      </c>
      <c r="E258" s="79">
        <f t="shared" si="36"/>
        <v>3.2645426959172497E-3</v>
      </c>
      <c r="F258" s="79">
        <f t="shared" si="37"/>
        <v>7.6473089978252862E-3</v>
      </c>
      <c r="G258" s="79">
        <f t="shared" si="38"/>
        <v>-2.5772715300392046E-2</v>
      </c>
      <c r="H258" s="79">
        <f t="shared" si="39"/>
        <v>-1.5843206420641076E-2</v>
      </c>
      <c r="I258" s="80" t="str">
        <f t="shared" si="40"/>
        <v>022025</v>
      </c>
      <c r="J258" s="79">
        <f t="shared" si="41"/>
        <v>-3.4796931043543644E-3</v>
      </c>
      <c r="K258" s="79">
        <f t="shared" si="42"/>
        <v>-4.4634716771712046E-3</v>
      </c>
      <c r="L258" s="81">
        <f t="shared" si="43"/>
        <v>97.422728469960717</v>
      </c>
      <c r="M258" s="82">
        <f t="shared" si="44"/>
        <v>98.415679357935886</v>
      </c>
    </row>
    <row r="259" spans="1:13" ht="15" thickBot="1" x14ac:dyDescent="0.35">
      <c r="A259" s="60">
        <v>45699</v>
      </c>
      <c r="B259" s="26">
        <v>126522</v>
      </c>
      <c r="C259" s="26">
        <v>129447.48</v>
      </c>
      <c r="D259" s="68">
        <v>1.7495259999999999</v>
      </c>
      <c r="E259" s="79">
        <f t="shared" si="36"/>
        <v>5.4429314015935759E-3</v>
      </c>
      <c r="F259" s="79">
        <f t="shared" si="37"/>
        <v>7.5653808173796744E-3</v>
      </c>
      <c r="G259" s="79">
        <f t="shared" si="38"/>
        <v>-2.0470063020211149E-2</v>
      </c>
      <c r="H259" s="79">
        <f t="shared" si="39"/>
        <v>-8.3976854932019673E-3</v>
      </c>
      <c r="I259" s="80" t="str">
        <f t="shared" si="40"/>
        <v>022025</v>
      </c>
      <c r="J259" s="79">
        <f t="shared" si="41"/>
        <v>1.9442985663735701E-3</v>
      </c>
      <c r="K259" s="79">
        <f t="shared" si="42"/>
        <v>3.068141277203118E-3</v>
      </c>
      <c r="L259" s="81">
        <f t="shared" si="43"/>
        <v>97.952993697978783</v>
      </c>
      <c r="M259" s="82">
        <f t="shared" si="44"/>
        <v>99.160231450679802</v>
      </c>
    </row>
    <row r="260" spans="1:13" ht="15" thickBot="1" x14ac:dyDescent="0.35">
      <c r="A260" s="60">
        <v>45700</v>
      </c>
      <c r="B260" s="26">
        <v>124380</v>
      </c>
      <c r="C260" s="26">
        <v>128266.21</v>
      </c>
      <c r="D260" s="68">
        <v>1.7335609999999999</v>
      </c>
      <c r="E260" s="79">
        <f t="shared" ref="E260:E270" si="45">D260/D259-1</f>
        <v>-9.1253288033444901E-3</v>
      </c>
      <c r="F260" s="79">
        <f t="shared" si="37"/>
        <v>-1.6929862000284568E-2</v>
      </c>
      <c r="G260" s="79">
        <f t="shared" si="38"/>
        <v>-2.9408595767871026E-2</v>
      </c>
      <c r="H260" s="79">
        <f t="shared" si="39"/>
        <v>-2.5185375836964785E-2</v>
      </c>
      <c r="I260" s="80" t="str">
        <f t="shared" si="40"/>
        <v>022025</v>
      </c>
      <c r="J260" s="79">
        <f t="shared" si="41"/>
        <v>-7.1987726006809138E-3</v>
      </c>
      <c r="K260" s="79">
        <f t="shared" si="42"/>
        <v>-1.3913663931501841E-2</v>
      </c>
      <c r="L260" s="81">
        <f t="shared" si="43"/>
        <v>97.059140423212796</v>
      </c>
      <c r="M260" s="82">
        <f t="shared" si="44"/>
        <v>97.481462416303515</v>
      </c>
    </row>
    <row r="261" spans="1:13" ht="15" thickBot="1" x14ac:dyDescent="0.35">
      <c r="A261" s="60">
        <v>45701</v>
      </c>
      <c r="B261" s="26">
        <v>124850</v>
      </c>
      <c r="C261" s="26">
        <v>128430.07</v>
      </c>
      <c r="D261" s="68">
        <v>1.7357750000000001</v>
      </c>
      <c r="E261" s="79">
        <f t="shared" si="45"/>
        <v>1.2771399448880949E-3</v>
      </c>
      <c r="F261" s="79">
        <f t="shared" si="37"/>
        <v>3.7787425631130578E-3</v>
      </c>
      <c r="G261" s="79">
        <f t="shared" si="38"/>
        <v>-2.8169014715361151E-2</v>
      </c>
      <c r="H261" s="79">
        <f t="shared" si="39"/>
        <v>-2.1501802325494812E-2</v>
      </c>
      <c r="I261" s="80" t="str">
        <f t="shared" si="40"/>
        <v>022025</v>
      </c>
      <c r="J261" s="79">
        <f t="shared" si="41"/>
        <v>-5.9308264958353174E-3</v>
      </c>
      <c r="K261" s="79">
        <f t="shared" si="42"/>
        <v>-1.0187497522495592E-2</v>
      </c>
      <c r="L261" s="81">
        <f t="shared" si="43"/>
        <v>97.183098528463788</v>
      </c>
      <c r="M261" s="82">
        <f t="shared" si="44"/>
        <v>97.849819767450512</v>
      </c>
    </row>
    <row r="262" spans="1:13" ht="15" thickBot="1" x14ac:dyDescent="0.35">
      <c r="A262" s="60">
        <v>45702</v>
      </c>
      <c r="B262" s="26">
        <v>128219</v>
      </c>
      <c r="C262" s="26">
        <v>131057.36</v>
      </c>
      <c r="D262" s="68">
        <v>1.764526</v>
      </c>
      <c r="E262" s="79">
        <f t="shared" si="45"/>
        <v>1.6563782748340028E-2</v>
      </c>
      <c r="F262" s="79">
        <f t="shared" si="37"/>
        <v>2.6984381257509016E-2</v>
      </c>
      <c r="G262" s="79">
        <f t="shared" si="38"/>
        <v>-1.207181740700114E-2</v>
      </c>
      <c r="H262" s="79">
        <f t="shared" si="39"/>
        <v>4.9023661003393393E-3</v>
      </c>
      <c r="I262" s="80" t="str">
        <f t="shared" si="40"/>
        <v>022025</v>
      </c>
      <c r="J262" s="79">
        <f t="shared" si="41"/>
        <v>1.0534719330909548E-2</v>
      </c>
      <c r="K262" s="79">
        <f t="shared" si="42"/>
        <v>1.6521980417806503E-2</v>
      </c>
      <c r="L262" s="81">
        <f t="shared" si="43"/>
        <v>98.792818259299779</v>
      </c>
      <c r="M262" s="82">
        <f t="shared" si="44"/>
        <v>100.49023661003393</v>
      </c>
    </row>
    <row r="263" spans="1:13" ht="15" thickBot="1" x14ac:dyDescent="0.35">
      <c r="A263" s="60">
        <v>45705</v>
      </c>
      <c r="B263" s="26">
        <v>128552</v>
      </c>
      <c r="C263" s="26">
        <v>131536.37</v>
      </c>
      <c r="D263" s="68">
        <v>1.7709760000000001</v>
      </c>
      <c r="E263" s="79">
        <f t="shared" si="45"/>
        <v>3.6553726043142554E-3</v>
      </c>
      <c r="F263" s="79">
        <f t="shared" si="37"/>
        <v>2.5971189917251003E-3</v>
      </c>
      <c r="G263" s="79">
        <f t="shared" si="38"/>
        <v>-8.4605717933208258E-3</v>
      </c>
      <c r="H263" s="79">
        <f t="shared" si="39"/>
        <v>7.5122171201680299E-3</v>
      </c>
      <c r="I263" s="80" t="str">
        <f t="shared" si="40"/>
        <v>022025</v>
      </c>
      <c r="J263" s="79">
        <f t="shared" si="41"/>
        <v>1.4228600259660107E-2</v>
      </c>
      <c r="K263" s="79">
        <f t="shared" si="42"/>
        <v>1.9162008958655496E-2</v>
      </c>
      <c r="L263" s="81">
        <f t="shared" si="43"/>
        <v>99.153942820667822</v>
      </c>
      <c r="M263" s="82">
        <f t="shared" si="44"/>
        <v>100.7512217120168</v>
      </c>
    </row>
    <row r="264" spans="1:13" ht="15" thickBot="1" x14ac:dyDescent="0.35">
      <c r="A264" s="60">
        <v>45706</v>
      </c>
      <c r="B264" s="26">
        <v>128532</v>
      </c>
      <c r="C264" s="26">
        <v>131868.91</v>
      </c>
      <c r="D264" s="68">
        <v>1.7754529999999999</v>
      </c>
      <c r="E264" s="79">
        <f t="shared" si="45"/>
        <v>2.5279845689607505E-3</v>
      </c>
      <c r="F264" s="79">
        <f t="shared" si="37"/>
        <v>-1.555790652809641E-4</v>
      </c>
      <c r="G264" s="79">
        <f t="shared" si="38"/>
        <v>-5.9539754192980965E-3</v>
      </c>
      <c r="H264" s="79">
        <f t="shared" si="39"/>
        <v>7.3554693111692604E-3</v>
      </c>
      <c r="I264" s="80" t="str">
        <f t="shared" si="40"/>
        <v>022025</v>
      </c>
      <c r="J264" s="79">
        <f t="shared" si="41"/>
        <v>1.6792554510515201E-2</v>
      </c>
      <c r="K264" s="79">
        <f t="shared" si="42"/>
        <v>1.9003448685931845E-2</v>
      </c>
      <c r="L264" s="81">
        <f t="shared" si="43"/>
        <v>99.404602458070087</v>
      </c>
      <c r="M264" s="82">
        <f t="shared" si="44"/>
        <v>100.73554693111693</v>
      </c>
    </row>
    <row r="265" spans="1:13" ht="15" thickBot="1" x14ac:dyDescent="0.35">
      <c r="A265" s="60">
        <v>45707</v>
      </c>
      <c r="B265" s="26">
        <v>127309</v>
      </c>
      <c r="C265" s="26">
        <v>131184.46</v>
      </c>
      <c r="D265" s="68">
        <v>1.766238</v>
      </c>
      <c r="E265" s="79">
        <f t="shared" si="45"/>
        <v>-5.1902246919518502E-3</v>
      </c>
      <c r="F265" s="79">
        <f t="shared" si="37"/>
        <v>-9.5151401985498207E-3</v>
      </c>
      <c r="G265" s="79">
        <f t="shared" si="38"/>
        <v>-1.1113297641013431E-2</v>
      </c>
      <c r="H265" s="79">
        <f t="shared" si="39"/>
        <v>-2.2296592091023415E-3</v>
      </c>
      <c r="I265" s="80" t="str">
        <f t="shared" si="40"/>
        <v>022025</v>
      </c>
      <c r="J265" s="79">
        <f t="shared" si="41"/>
        <v>1.1515172687502018E-2</v>
      </c>
      <c r="K265" s="79">
        <f t="shared" si="42"/>
        <v>9.3074880088794831E-3</v>
      </c>
      <c r="L265" s="81">
        <f t="shared" si="43"/>
        <v>98.888670235898559</v>
      </c>
      <c r="M265" s="82">
        <f t="shared" si="44"/>
        <v>99.777034079089759</v>
      </c>
    </row>
    <row r="266" spans="1:13" ht="15" thickBot="1" x14ac:dyDescent="0.35">
      <c r="A266" s="60">
        <v>45708</v>
      </c>
      <c r="B266" s="26">
        <v>127601</v>
      </c>
      <c r="C266" s="26">
        <v>131339.37</v>
      </c>
      <c r="D266" s="68">
        <v>1.7683230000000001</v>
      </c>
      <c r="E266" s="79">
        <f t="shared" si="45"/>
        <v>1.1804751115083167E-3</v>
      </c>
      <c r="F266" s="79">
        <f t="shared" si="37"/>
        <v>2.2936320291573331E-3</v>
      </c>
      <c r="G266" s="79">
        <f t="shared" si="38"/>
        <v>-9.9459415007772112E-3</v>
      </c>
      <c r="H266" s="79">
        <f t="shared" si="39"/>
        <v>5.8858802278960454E-5</v>
      </c>
      <c r="I266" s="80" t="str">
        <f t="shared" si="40"/>
        <v>022025</v>
      </c>
      <c r="J266" s="79">
        <f t="shared" si="41"/>
        <v>1.270924117377259E-2</v>
      </c>
      <c r="K266" s="79">
        <f t="shared" si="42"/>
        <v>1.1622467990644925E-2</v>
      </c>
      <c r="L266" s="81">
        <f t="shared" si="43"/>
        <v>99.005405849922184</v>
      </c>
      <c r="M266" s="82">
        <f t="shared" si="44"/>
        <v>100.00588588022788</v>
      </c>
    </row>
    <row r="267" spans="1:13" ht="15" thickBot="1" x14ac:dyDescent="0.35">
      <c r="A267" s="60">
        <v>45709</v>
      </c>
      <c r="B267" s="26">
        <v>127128</v>
      </c>
      <c r="C267" s="26">
        <v>130629.04</v>
      </c>
      <c r="D267" s="68">
        <v>1.7587600000000001</v>
      </c>
      <c r="E267" s="79">
        <f t="shared" si="45"/>
        <v>-5.4079486609629468E-3</v>
      </c>
      <c r="F267" s="79">
        <f t="shared" si="37"/>
        <v>-3.7068675010384355E-3</v>
      </c>
      <c r="G267" s="79">
        <f t="shared" si="38"/>
        <v>-1.5300103020719047E-2</v>
      </c>
      <c r="H267" s="79">
        <f t="shared" si="39"/>
        <v>-3.6482268805407836E-3</v>
      </c>
      <c r="I267" s="80" t="str">
        <f t="shared" si="40"/>
        <v>022025</v>
      </c>
      <c r="J267" s="79">
        <f t="shared" si="41"/>
        <v>7.2325615890220796E-3</v>
      </c>
      <c r="K267" s="79">
        <f t="shared" si="42"/>
        <v>7.8725175407301506E-3</v>
      </c>
      <c r="L267" s="81">
        <f t="shared" si="43"/>
        <v>98.469989697928</v>
      </c>
      <c r="M267" s="82">
        <f t="shared" si="44"/>
        <v>99.63517731194591</v>
      </c>
    </row>
    <row r="268" spans="1:13" ht="15" thickBot="1" x14ac:dyDescent="0.35">
      <c r="A268" s="60">
        <v>45712</v>
      </c>
      <c r="B268" s="26">
        <v>125401</v>
      </c>
      <c r="C268" s="26">
        <v>129656.78</v>
      </c>
      <c r="D268" s="68">
        <v>1.7456689999999999</v>
      </c>
      <c r="E268" s="79">
        <f t="shared" si="45"/>
        <v>-7.4433123336897777E-3</v>
      </c>
      <c r="F268" s="79">
        <f t="shared" si="37"/>
        <v>-1.3584733496947998E-2</v>
      </c>
      <c r="G268" s="79">
        <f t="shared" si="38"/>
        <v>-2.2629531908887945E-2</v>
      </c>
      <c r="H268" s="79">
        <f t="shared" si="39"/>
        <v>-1.7183400187580133E-2</v>
      </c>
      <c r="I268" s="80" t="str">
        <f t="shared" si="40"/>
        <v>022025</v>
      </c>
      <c r="J268" s="79">
        <f t="shared" si="41"/>
        <v>-2.6458495954739814E-4</v>
      </c>
      <c r="K268" s="79">
        <f t="shared" si="42"/>
        <v>-5.8191620089587115E-3</v>
      </c>
      <c r="L268" s="81">
        <f t="shared" si="43"/>
        <v>97.737046809111106</v>
      </c>
      <c r="M268" s="82">
        <f t="shared" si="44"/>
        <v>98.281659981241958</v>
      </c>
    </row>
    <row r="269" spans="1:13" ht="15" thickBot="1" x14ac:dyDescent="0.35">
      <c r="A269" s="60">
        <v>45713</v>
      </c>
      <c r="B269" s="26">
        <v>125980</v>
      </c>
      <c r="C269" s="26">
        <v>129567.19</v>
      </c>
      <c r="D269" s="68">
        <v>1.7444630000000001</v>
      </c>
      <c r="E269" s="79">
        <f t="shared" si="45"/>
        <v>-6.9085261868073733E-4</v>
      </c>
      <c r="F269" s="79">
        <f t="shared" ref="F269:F270" si="46">B269/B268-1</f>
        <v>4.6171880607013271E-3</v>
      </c>
      <c r="G269" s="79">
        <f t="shared" ref="G269:G270" si="47">D269/$D$2-1</f>
        <v>-2.3304750856189882E-2</v>
      </c>
      <c r="H269" s="79">
        <f t="shared" ref="H269:H270" si="48">B269/$B$2-1</f>
        <v>-1.2645551117067222E-2</v>
      </c>
      <c r="I269" s="80" t="str">
        <f t="shared" ref="I269:I270" si="49">TEXT(A269,"mmaaaa")</f>
        <v>022025</v>
      </c>
      <c r="J269" s="79">
        <f t="shared" ref="J269:J270" si="50">IF(I269=I268,(1+E269)*(1+J268)-1,E269)</f>
        <v>-9.5525478901592464E-4</v>
      </c>
      <c r="K269" s="79">
        <f t="shared" ref="K269:K270" si="51">IF(I269=I268,(1+F269)*(1+K268)-1,F269)</f>
        <v>-1.2288421136084082E-3</v>
      </c>
      <c r="L269" s="81">
        <f t="shared" ref="L269:L270" si="52">L268*(1+E269)</f>
        <v>97.669524914380915</v>
      </c>
      <c r="M269" s="82">
        <f t="shared" ref="M269:M270" si="53">M268*(1+F269)</f>
        <v>98.735444888293259</v>
      </c>
    </row>
    <row r="270" spans="1:13" ht="15" thickBot="1" x14ac:dyDescent="0.35">
      <c r="A270" s="60">
        <v>45714</v>
      </c>
      <c r="B270" s="26">
        <v>124769</v>
      </c>
      <c r="C270" s="26">
        <v>129655.75</v>
      </c>
      <c r="D270" s="68">
        <v>1.745655</v>
      </c>
      <c r="E270" s="79">
        <f t="shared" si="45"/>
        <v>6.8330483363632233E-4</v>
      </c>
      <c r="F270" s="79">
        <f t="shared" si="46"/>
        <v>-9.6126369264962763E-3</v>
      </c>
      <c r="G270" s="79">
        <f t="shared" si="47"/>
        <v>-2.2637370271460178E-2</v>
      </c>
      <c r="H270" s="79">
        <f t="shared" si="48"/>
        <v>-2.2136630951939629E-2</v>
      </c>
      <c r="I270" s="80" t="str">
        <f t="shared" si="49"/>
        <v>022025</v>
      </c>
      <c r="J270" s="79">
        <f t="shared" si="50"/>
        <v>-2.7260268559425871E-4</v>
      </c>
      <c r="K270" s="79">
        <f t="shared" si="51"/>
        <v>-1.0829666627026557E-2</v>
      </c>
      <c r="L270" s="81">
        <f t="shared" si="52"/>
        <v>97.736262972853879</v>
      </c>
      <c r="M270" s="82">
        <f t="shared" si="53"/>
        <v>97.786336904806006</v>
      </c>
    </row>
    <row r="271" spans="1:13" ht="15" thickBot="1" x14ac:dyDescent="0.35">
      <c r="A271" s="60">
        <v>45715</v>
      </c>
      <c r="B271" s="26">
        <v>124799</v>
      </c>
      <c r="C271" s="26">
        <v>129421.81</v>
      </c>
      <c r="D271" s="68">
        <v>1.7425060000000001</v>
      </c>
      <c r="E271" s="79">
        <f t="shared" ref="E271:E272" si="54">D271/D270-1</f>
        <v>-1.8039074158409107E-3</v>
      </c>
      <c r="F271" s="79">
        <f t="shared" ref="F271:F272" si="55">B271/B270-1</f>
        <v>2.4044434114234292E-4</v>
      </c>
      <c r="G271" s="79">
        <f t="shared" ref="G271:G272" si="56">D271/$D$2-1</f>
        <v>-2.4400441967193376E-2</v>
      </c>
      <c r="H271" s="79">
        <f t="shared" ref="H271:H272" si="57">B271/$B$2-1</f>
        <v>-2.1901509238441585E-2</v>
      </c>
      <c r="I271" s="80" t="str">
        <f t="shared" ref="I271:I272" si="58">TEXT(A271,"mmaaaa")</f>
        <v>022025</v>
      </c>
      <c r="J271" s="79">
        <f t="shared" ref="J271:J272" si="59">IF(I271=I270,(1+E271)*(1+J270)-1,E271)</f>
        <v>-2.0760183514290098E-3</v>
      </c>
      <c r="K271" s="79">
        <f t="shared" ref="K271:K272" si="60">IF(I271=I270,(1+F271)*(1+K270)-1,F271)</f>
        <v>-1.0591826217941192E-2</v>
      </c>
      <c r="L271" s="81">
        <f t="shared" ref="L271:L272" si="61">L270*(1+E271)</f>
        <v>97.559955803280573</v>
      </c>
      <c r="M271" s="82">
        <f t="shared" ref="M271:M272" si="62">M270*(1+F271)</f>
        <v>97.8098490761558</v>
      </c>
    </row>
    <row r="272" spans="1:13" ht="15" thickBot="1" x14ac:dyDescent="0.35">
      <c r="A272" s="60">
        <v>45716</v>
      </c>
      <c r="B272" s="26">
        <v>122799</v>
      </c>
      <c r="C272" s="26">
        <v>129304.79</v>
      </c>
      <c r="D272" s="68">
        <v>1.7409300000000001</v>
      </c>
      <c r="E272" s="79">
        <f t="shared" si="54"/>
        <v>-9.0444451841198426E-4</v>
      </c>
      <c r="F272" s="79">
        <f t="shared" si="55"/>
        <v>-1.6025769437255089E-2</v>
      </c>
      <c r="G272" s="79">
        <f t="shared" si="56"/>
        <v>-2.5282817639621258E-2</v>
      </c>
      <c r="H272" s="79">
        <f t="shared" si="57"/>
        <v>-3.7576290138313539E-2</v>
      </c>
      <c r="I272" s="80" t="str">
        <f t="shared" si="58"/>
        <v>022025</v>
      </c>
      <c r="J272" s="79">
        <f t="shared" si="59"/>
        <v>-2.978585226422914E-3</v>
      </c>
      <c r="K272" s="79">
        <f t="shared" si="60"/>
        <v>-2.6447853490308093E-2</v>
      </c>
      <c r="L272" s="81">
        <f t="shared" si="61"/>
        <v>97.471718236037788</v>
      </c>
      <c r="M272" s="82">
        <f t="shared" si="62"/>
        <v>96.242370986168609</v>
      </c>
    </row>
    <row r="273" spans="1:13" ht="15" thickBot="1" x14ac:dyDescent="0.35">
      <c r="A273" s="60">
        <v>45721</v>
      </c>
      <c r="B273" s="26">
        <v>123047</v>
      </c>
      <c r="C273" s="26">
        <v>128603.03</v>
      </c>
      <c r="D273" s="68">
        <v>1.731482</v>
      </c>
      <c r="E273" s="79">
        <f t="shared" ref="E273:E275" si="63">D273/D272-1</f>
        <v>-5.4269844278633794E-3</v>
      </c>
      <c r="F273" s="79">
        <f t="shared" ref="F273:F275" si="64">B273/B272-1</f>
        <v>2.0195604198731676E-3</v>
      </c>
      <c r="G273" s="79">
        <f t="shared" ref="G273:G275" si="65">D273/$D$2-1</f>
        <v>-3.0572592609861893E-2</v>
      </c>
      <c r="H273" s="79">
        <f t="shared" ref="H273:H275" si="66">B273/$B$2-1</f>
        <v>-3.5632617306729397E-2</v>
      </c>
      <c r="I273" s="80" t="str">
        <f t="shared" ref="I273:I275" si="67">TEXT(A273,"mmaaaa")</f>
        <v>032025</v>
      </c>
      <c r="J273" s="79">
        <f t="shared" ref="J273:J275" si="68">IF(I273=I272,(1+E273)*(1+J272)-1,E273)</f>
        <v>-5.4269844278633794E-3</v>
      </c>
      <c r="K273" s="79">
        <f t="shared" ref="K273:K275" si="69">IF(I273=I272,(1+F273)*(1+K272)-1,F273)</f>
        <v>2.0195604198731676E-3</v>
      </c>
      <c r="L273" s="81">
        <f t="shared" ref="L273:L275" si="70">L272*(1+E273)</f>
        <v>96.942740739013729</v>
      </c>
      <c r="M273" s="82">
        <f t="shared" ref="M273:M275" si="71">M272*(1+F273)</f>
        <v>96.436738269327023</v>
      </c>
    </row>
    <row r="274" spans="1:13" ht="15" thickBot="1" x14ac:dyDescent="0.35">
      <c r="A274" s="60">
        <v>45722</v>
      </c>
      <c r="B274" s="26">
        <v>123358</v>
      </c>
      <c r="C274" s="26">
        <v>128445.93</v>
      </c>
      <c r="D274" s="68">
        <v>1.7293670000000001</v>
      </c>
      <c r="E274" s="79">
        <f t="shared" si="63"/>
        <v>-1.2214969604072978E-3</v>
      </c>
      <c r="F274" s="79">
        <f t="shared" si="64"/>
        <v>2.5274894958837724E-3</v>
      </c>
      <c r="G274" s="79">
        <f t="shared" si="65"/>
        <v>-3.1756745241324436E-2</v>
      </c>
      <c r="H274" s="79">
        <f t="shared" si="66"/>
        <v>-3.3195188876799286E-2</v>
      </c>
      <c r="I274" s="80" t="str">
        <f t="shared" si="67"/>
        <v>032025</v>
      </c>
      <c r="J274" s="79">
        <f t="shared" si="68"/>
        <v>-6.6418523432878462E-3</v>
      </c>
      <c r="K274" s="79">
        <f t="shared" si="69"/>
        <v>4.5521543335045322E-3</v>
      </c>
      <c r="L274" s="81">
        <f t="shared" si="70"/>
        <v>96.824325475867468</v>
      </c>
      <c r="M274" s="82">
        <f t="shared" si="71"/>
        <v>96.680481112320038</v>
      </c>
    </row>
    <row r="275" spans="1:13" ht="15" thickBot="1" x14ac:dyDescent="0.35">
      <c r="A275" s="60">
        <v>45723</v>
      </c>
      <c r="B275" s="26">
        <v>125035</v>
      </c>
      <c r="C275" s="26">
        <v>129926.89</v>
      </c>
      <c r="D275" s="68">
        <v>1.749306</v>
      </c>
      <c r="E275" s="79">
        <f t="shared" si="63"/>
        <v>1.1529652179092187E-2</v>
      </c>
      <c r="F275" s="79">
        <f t="shared" si="64"/>
        <v>1.3594578381620925E-2</v>
      </c>
      <c r="G275" s="79">
        <f t="shared" si="65"/>
        <v>-2.0593237289204924E-2</v>
      </c>
      <c r="H275" s="79">
        <f t="shared" si="66"/>
        <v>-2.0051885092256749E-2</v>
      </c>
      <c r="I275" s="80" t="str">
        <f t="shared" si="67"/>
        <v>032025</v>
      </c>
      <c r="J275" s="79">
        <f t="shared" si="68"/>
        <v>4.8112215884612564E-3</v>
      </c>
      <c r="K275" s="79">
        <f t="shared" si="69"/>
        <v>1.8208617334017463E-2</v>
      </c>
      <c r="L275" s="81">
        <f t="shared" si="70"/>
        <v>97.94067627107944</v>
      </c>
      <c r="M275" s="82">
        <f t="shared" si="71"/>
        <v>97.994811490774296</v>
      </c>
    </row>
    <row r="276" spans="1:13" ht="15" thickBot="1" x14ac:dyDescent="0.35">
      <c r="A276" s="60">
        <v>45726</v>
      </c>
      <c r="B276" s="26">
        <v>124519</v>
      </c>
      <c r="C276" s="26">
        <v>128931.94</v>
      </c>
      <c r="D276" s="68">
        <v>1.7359100000000001</v>
      </c>
      <c r="E276" s="79">
        <f t="shared" ref="E276:E279" si="72">D276/D275-1</f>
        <v>-7.6578940448382982E-3</v>
      </c>
      <c r="F276" s="79">
        <f t="shared" ref="F276:F279" si="73">B276/B275-1</f>
        <v>-4.1268444835446116E-3</v>
      </c>
      <c r="G276" s="79">
        <f t="shared" ref="G276:G279" si="74">D276/$D$2-1</f>
        <v>-2.8093430504842254E-2</v>
      </c>
      <c r="H276" s="79">
        <f t="shared" ref="H276:H279" si="75">B276/$B$2-1</f>
        <v>-2.4095978564423692E-2</v>
      </c>
      <c r="I276" s="80" t="str">
        <f t="shared" ref="I276:I279" si="76">TEXT(A276,"mmaaaa")</f>
        <v>032025</v>
      </c>
      <c r="J276" s="79">
        <f t="shared" ref="J276:J279" si="77">IF(I276=I275,(1+E276)*(1+J275)-1,E276)</f>
        <v>-2.8835162815277204E-3</v>
      </c>
      <c r="K276" s="79">
        <f t="shared" ref="K276:K279" si="78">IF(I276=I275,(1+F276)*(1+K275)-1,F276)</f>
        <v>1.4006628718475023E-2</v>
      </c>
      <c r="L276" s="81">
        <f t="shared" ref="L276:L279" si="79">L275*(1+E276)</f>
        <v>97.190656949515699</v>
      </c>
      <c r="M276" s="82">
        <f t="shared" ref="M276:M279" si="80">M275*(1+F276)</f>
        <v>97.590402143557597</v>
      </c>
    </row>
    <row r="277" spans="1:13" ht="15" thickBot="1" x14ac:dyDescent="0.35">
      <c r="A277" s="60">
        <v>45727</v>
      </c>
      <c r="B277" s="26">
        <v>123507</v>
      </c>
      <c r="C277" s="26">
        <v>128230.53</v>
      </c>
      <c r="D277" s="68">
        <v>1.726467</v>
      </c>
      <c r="E277" s="79">
        <f t="shared" si="72"/>
        <v>-5.4397981462173117E-3</v>
      </c>
      <c r="F277" s="79">
        <f t="shared" si="73"/>
        <v>-8.1272737493875979E-3</v>
      </c>
      <c r="G277" s="79">
        <f t="shared" si="74"/>
        <v>-3.3380406059878465E-2</v>
      </c>
      <c r="H277" s="79">
        <f t="shared" si="75"/>
        <v>-3.2027417699758809E-2</v>
      </c>
      <c r="I277" s="80" t="str">
        <f t="shared" si="76"/>
        <v>032025</v>
      </c>
      <c r="J277" s="79">
        <f t="shared" si="77"/>
        <v>-8.3076286812221456E-3</v>
      </c>
      <c r="K277" s="79">
        <f t="shared" si="78"/>
        <v>5.7655192631862473E-3</v>
      </c>
      <c r="L277" s="81">
        <f t="shared" si="79"/>
        <v>96.661959394012086</v>
      </c>
      <c r="M277" s="82">
        <f t="shared" si="80"/>
        <v>96.797258230024084</v>
      </c>
    </row>
    <row r="278" spans="1:13" ht="15" thickBot="1" x14ac:dyDescent="0.35">
      <c r="A278" s="60">
        <v>45728</v>
      </c>
      <c r="B278" s="26">
        <v>123864</v>
      </c>
      <c r="C278" s="26">
        <v>128295.61</v>
      </c>
      <c r="D278" s="68">
        <v>1.7273430000000001</v>
      </c>
      <c r="E278" s="79">
        <f t="shared" si="72"/>
        <v>5.0739458095638845E-4</v>
      </c>
      <c r="F278" s="79">
        <f t="shared" si="73"/>
        <v>2.8905244237169558E-3</v>
      </c>
      <c r="G278" s="79">
        <f t="shared" si="74"/>
        <v>-3.2889948516066969E-2</v>
      </c>
      <c r="H278" s="79">
        <f t="shared" si="75"/>
        <v>-2.9229469309131728E-2</v>
      </c>
      <c r="I278" s="80" t="str">
        <f t="shared" si="76"/>
        <v>032025</v>
      </c>
      <c r="J278" s="79">
        <f t="shared" si="77"/>
        <v>-7.8044493460391884E-3</v>
      </c>
      <c r="K278" s="79">
        <f t="shared" si="78"/>
        <v>8.6727090611489199E-3</v>
      </c>
      <c r="L278" s="81">
        <f t="shared" si="79"/>
        <v>96.711005148393241</v>
      </c>
      <c r="M278" s="82">
        <f t="shared" si="80"/>
        <v>97.077053069086801</v>
      </c>
    </row>
    <row r="279" spans="1:13" ht="15" thickBot="1" x14ac:dyDescent="0.35">
      <c r="A279" s="60">
        <v>45729</v>
      </c>
      <c r="B279" s="26">
        <v>125637</v>
      </c>
      <c r="C279" s="26">
        <v>129192.7</v>
      </c>
      <c r="D279" s="68">
        <v>1.7394210000000001</v>
      </c>
      <c r="E279" s="79">
        <f t="shared" si="72"/>
        <v>6.9922418419503529E-3</v>
      </c>
      <c r="F279" s="79">
        <f t="shared" si="73"/>
        <v>1.4314086417360983E-2</v>
      </c>
      <c r="G279" s="79">
        <f t="shared" si="74"/>
        <v>-2.6127681148310211E-2</v>
      </c>
      <c r="H279" s="79">
        <f t="shared" si="75"/>
        <v>-1.5333776041395297E-2</v>
      </c>
      <c r="I279" s="80" t="str">
        <f t="shared" si="76"/>
        <v>032025</v>
      </c>
      <c r="J279" s="79">
        <f t="shared" si="77"/>
        <v>-8.6677810135959987E-4</v>
      </c>
      <c r="K279" s="79">
        <f t="shared" si="78"/>
        <v>2.3110937385483865E-2</v>
      </c>
      <c r="L279" s="81">
        <f t="shared" si="79"/>
        <v>97.387231885168916</v>
      </c>
      <c r="M279" s="82">
        <f t="shared" si="80"/>
        <v>98.466622395860455</v>
      </c>
    </row>
    <row r="280" spans="1:13" ht="15" thickBot="1" x14ac:dyDescent="0.35">
      <c r="A280" s="60">
        <v>45730</v>
      </c>
      <c r="B280" s="26">
        <v>128957</v>
      </c>
      <c r="C280" s="26">
        <v>131555.39000000001</v>
      </c>
      <c r="D280" s="68">
        <v>1.7712319999999999</v>
      </c>
      <c r="E280" s="79">
        <f t="shared" ref="E280" si="81">D280/D279-1</f>
        <v>1.8288269487375386E-2</v>
      </c>
      <c r="F280" s="79">
        <f t="shared" ref="F280" si="82">B280/B279-1</f>
        <v>2.6425336485271123E-2</v>
      </c>
      <c r="G280" s="79">
        <f t="shared" ref="G280" si="83">D280/$D$2-1</f>
        <v>-8.317241734855485E-3</v>
      </c>
      <c r="H280" s="79">
        <f t="shared" ref="H280" si="84">B280/$B$2-1</f>
        <v>1.0686360252392113E-2</v>
      </c>
      <c r="I280" s="80" t="str">
        <f t="shared" ref="I280" si="85">TEXT(A280,"mmaaaa")</f>
        <v>032025</v>
      </c>
      <c r="J280" s="79">
        <f t="shared" ref="J280" si="86">IF(I280=I279,(1+E280)*(1+J279)-1,E280)</f>
        <v>1.740563951451235E-2</v>
      </c>
      <c r="K280" s="79">
        <f t="shared" ref="K280" si="87">IF(I280=I279,(1+F280)*(1+K279)-1,F280)</f>
        <v>5.0146988167656392E-2</v>
      </c>
      <c r="L280" s="81">
        <f t="shared" ref="L280" si="88">L279*(1+E280)</f>
        <v>99.168275826514403</v>
      </c>
      <c r="M280" s="82">
        <f t="shared" ref="M280" si="89">M279*(1+F280)</f>
        <v>101.0686360252392</v>
      </c>
    </row>
    <row r="281" spans="1:13" ht="15" thickBot="1" x14ac:dyDescent="0.35">
      <c r="A281" s="60">
        <v>45733</v>
      </c>
      <c r="B281" s="26">
        <v>130834</v>
      </c>
      <c r="C281" s="26">
        <v>132965.79</v>
      </c>
      <c r="D281" s="68">
        <v>1.7902210000000001</v>
      </c>
      <c r="E281" s="79">
        <f t="shared" ref="E281" si="90">D281/D280-1</f>
        <v>1.0720786435656215E-2</v>
      </c>
      <c r="F281" s="79">
        <f t="shared" ref="F281" si="91">B281/B280-1</f>
        <v>1.4555239343347015E-2</v>
      </c>
      <c r="G281" s="79">
        <f>D281/$D$2-1</f>
        <v>2.3143773284275415E-3</v>
      </c>
      <c r="H281" s="79">
        <f t="shared" ref="H281" si="92">B281/$B$2-1</f>
        <v>2.5397142126921901E-2</v>
      </c>
      <c r="I281" s="80" t="str">
        <f t="shared" ref="I281" si="93">TEXT(A281,"mmaaaa")</f>
        <v>032025</v>
      </c>
      <c r="J281" s="79">
        <f t="shared" ref="J281" si="94">IF(I281=I280,(1+E281)*(1+J280)-1,E281)</f>
        <v>2.8313028094179682E-2</v>
      </c>
      <c r="K281" s="79">
        <f t="shared" ref="K281" si="95">IF(I281=I280,(1+F281)*(1+K280)-1,F281)</f>
        <v>6.5432128926131705E-2</v>
      </c>
      <c r="L281" s="81">
        <f t="shared" ref="L281" si="96">L280*(1+E281)</f>
        <v>100.23143773284271</v>
      </c>
      <c r="M281" s="82">
        <f t="shared" ref="M281" si="97">M280*(1+F281)</f>
        <v>102.53971421269218</v>
      </c>
    </row>
    <row r="282" spans="1:13" ht="15" thickBot="1" x14ac:dyDescent="0.35">
      <c r="A282" s="60">
        <v>45734</v>
      </c>
      <c r="B282" s="26">
        <v>131475</v>
      </c>
      <c r="C282" s="26">
        <v>133265.72</v>
      </c>
      <c r="D282" s="68">
        <v>1.794259</v>
      </c>
      <c r="E282" s="79">
        <f t="shared" ref="E282" si="98">D282/D281-1</f>
        <v>2.2555874386458452E-3</v>
      </c>
      <c r="F282" s="79">
        <f t="shared" ref="F282" si="99">B282/B281-1</f>
        <v>4.899338092544836E-3</v>
      </c>
      <c r="G282" s="79">
        <f>D282/$D$2-1</f>
        <v>4.5751850475037603E-3</v>
      </c>
      <c r="H282" s="79">
        <f t="shared" ref="H282" si="100">B282/$B$2-1</f>
        <v>3.0420909405330931E-2</v>
      </c>
      <c r="I282" s="80" t="str">
        <f t="shared" ref="I282" si="101">TEXT(A282,"mmaaaa")</f>
        <v>032025</v>
      </c>
      <c r="J282" s="79">
        <f t="shared" ref="J282" si="102">IF(I282=I281,(1+E282)*(1+J281)-1,E282)</f>
        <v>3.063247804334468E-2</v>
      </c>
      <c r="K282" s="79">
        <f t="shared" ref="K282" si="103">IF(I282=I281,(1+F282)*(1+K281)-1,F282)</f>
        <v>7.0652041140400579E-2</v>
      </c>
      <c r="L282" s="81">
        <f t="shared" ref="L282" si="104">L281*(1+E282)</f>
        <v>100.45751850475033</v>
      </c>
      <c r="M282" s="82">
        <f t="shared" ref="M282" si="105">M281*(1+F282)</f>
        <v>103.04209094053307</v>
      </c>
    </row>
    <row r="283" spans="1:13" ht="15" thickBot="1" x14ac:dyDescent="0.35">
      <c r="A283" s="60">
        <v>45735</v>
      </c>
      <c r="B283" s="26">
        <v>132508</v>
      </c>
      <c r="C283" s="26">
        <v>133655.76999999999</v>
      </c>
      <c r="D283" s="68">
        <v>1.7995110000000001</v>
      </c>
      <c r="E283" s="79">
        <f t="shared" ref="E283:E284" si="106">D283/D282-1</f>
        <v>2.9271136441282319E-3</v>
      </c>
      <c r="F283" s="79">
        <f t="shared" ref="F283:F284" si="107">B283/B282-1</f>
        <v>7.857007035558139E-3</v>
      </c>
      <c r="G283" s="79">
        <f t="shared" ref="G283:G284" si="108">D283/$D$2-1</f>
        <v>7.5156907782090165E-3</v>
      </c>
      <c r="H283" s="79">
        <f t="shared" ref="H283:H284" si="109">B283/$B$2-1</f>
        <v>3.8516933740114778E-2</v>
      </c>
      <c r="I283" s="80" t="str">
        <f t="shared" ref="I283:I284" si="110">TEXT(A283,"mmaaaa")</f>
        <v>032025</v>
      </c>
      <c r="J283" s="79">
        <f t="shared" ref="J283:J284" si="111">IF(I283=I282,(1+E283)*(1+J282)-1,E283)</f>
        <v>3.3649256431907082E-2</v>
      </c>
      <c r="K283" s="79">
        <f t="shared" ref="K283:K284" si="112">IF(I283=I282,(1+F283)*(1+K282)-1,F283)</f>
        <v>7.906416176027542E-2</v>
      </c>
      <c r="L283" s="81">
        <f t="shared" ref="L283:L284" si="113">L282*(1+E283)</f>
        <v>100.75156907782085</v>
      </c>
      <c r="M283" s="82">
        <f t="shared" ref="M283:M284" si="114">M282*(1+F283)</f>
        <v>103.85169337401146</v>
      </c>
    </row>
    <row r="284" spans="1:13" ht="15" thickBot="1" x14ac:dyDescent="0.35">
      <c r="A284" s="60">
        <v>45736</v>
      </c>
      <c r="B284" s="26">
        <v>131955</v>
      </c>
      <c r="C284" s="26">
        <v>133544.21</v>
      </c>
      <c r="D284" s="68">
        <v>1.798009</v>
      </c>
      <c r="E284" s="79">
        <f t="shared" si="106"/>
        <v>-8.34671196786263E-4</v>
      </c>
      <c r="F284" s="79">
        <f t="shared" si="107"/>
        <v>-4.1733329308418776E-3</v>
      </c>
      <c r="G284" s="79">
        <f t="shared" si="108"/>
        <v>6.6747464508061238E-3</v>
      </c>
      <c r="H284" s="79">
        <f t="shared" si="109"/>
        <v>3.4182856821300067E-2</v>
      </c>
      <c r="I284" s="80" t="str">
        <f t="shared" si="110"/>
        <v>032025</v>
      </c>
      <c r="J284" s="79">
        <f t="shared" si="111"/>
        <v>3.2786499169983774E-2</v>
      </c>
      <c r="K284" s="79">
        <f t="shared" si="112"/>
        <v>7.4560867759509986E-2</v>
      </c>
      <c r="L284" s="81">
        <f t="shared" si="113"/>
        <v>100.66747464508057</v>
      </c>
      <c r="M284" s="82">
        <f t="shared" si="114"/>
        <v>103.41828568213</v>
      </c>
    </row>
    <row r="285" spans="1:13" ht="15" thickBot="1" x14ac:dyDescent="0.35">
      <c r="A285" s="60">
        <v>45737</v>
      </c>
      <c r="B285" s="26">
        <v>132345</v>
      </c>
      <c r="C285" s="26">
        <v>133642.26999999999</v>
      </c>
      <c r="D285" s="68">
        <v>1.799329</v>
      </c>
      <c r="E285" s="79">
        <f t="shared" ref="E285" si="115">D285/D284-1</f>
        <v>7.3414537969496152E-4</v>
      </c>
      <c r="F285" s="79">
        <f t="shared" ref="F285" si="116">B285/B284-1</f>
        <v>2.9555530294418375E-3</v>
      </c>
      <c r="G285" s="79">
        <f t="shared" ref="G285" si="117">D285/$D$2-1</f>
        <v>7.413792064768554E-3</v>
      </c>
      <c r="H285" s="79">
        <f t="shared" ref="H285" si="118">B285/$B$2-1</f>
        <v>3.7239439096775184E-2</v>
      </c>
      <c r="I285" s="80" t="str">
        <f t="shared" ref="I285" si="119">TEXT(A285,"mmaaaa")</f>
        <v>032025</v>
      </c>
      <c r="J285" s="79">
        <f t="shared" ref="J285" si="120">IF(I285=I284,(1+E285)*(1+J284)-1,E285)</f>
        <v>3.3544714606560833E-2</v>
      </c>
      <c r="K285" s="79">
        <f t="shared" ref="K285" si="121">IF(I285=I284,(1+F285)*(1+K284)-1,F285)</f>
        <v>7.7736789387536254E-2</v>
      </c>
      <c r="L285" s="81">
        <f t="shared" ref="L285" si="122">L284*(1+E285)</f>
        <v>100.74137920647682</v>
      </c>
      <c r="M285" s="82">
        <f t="shared" ref="M285" si="123">M284*(1+F285)</f>
        <v>103.7239439096775</v>
      </c>
    </row>
    <row r="286" spans="1:13" ht="15" thickBot="1" x14ac:dyDescent="0.35">
      <c r="A286" s="60">
        <v>45740</v>
      </c>
      <c r="B286" s="26">
        <v>131321</v>
      </c>
      <c r="C286" s="26">
        <v>133560.32000000001</v>
      </c>
      <c r="D286" s="68">
        <v>1.7982260000000001</v>
      </c>
      <c r="E286" s="79">
        <f t="shared" ref="E286" si="124">D286/D285-1</f>
        <v>-6.1300629290128583E-4</v>
      </c>
      <c r="F286" s="79">
        <f t="shared" ref="F286" si="125">B286/B285-1</f>
        <v>-7.7373531300767295E-3</v>
      </c>
      <c r="G286" s="79">
        <f t="shared" ref="G286" si="126">D286/$D$2-1</f>
        <v>6.7962410706774445E-3</v>
      </c>
      <c r="H286" s="79">
        <f t="shared" ref="H286" si="127">B286/$B$2-1</f>
        <v>2.9213951276040762E-2</v>
      </c>
      <c r="I286" s="80" t="str">
        <f t="shared" ref="I286" si="128">TEXT(A286,"mmaaaa")</f>
        <v>032025</v>
      </c>
      <c r="J286" s="79">
        <f t="shared" ref="J286" si="129">IF(I286=I285,(1+E286)*(1+J285)-1,E286)</f>
        <v>3.2911145192512148E-2</v>
      </c>
      <c r="K286" s="79">
        <f t="shared" ref="K286" si="130">IF(I286=I285,(1+F286)*(1+K285)-1,F286)</f>
        <v>6.9397959266769726E-2</v>
      </c>
      <c r="L286" s="81">
        <f t="shared" ref="L286" si="131">L285*(1+E286)</f>
        <v>100.6796241070677</v>
      </c>
      <c r="M286" s="82">
        <f t="shared" ref="M286" si="132">M285*(1+F286)</f>
        <v>102.92139512760406</v>
      </c>
    </row>
    <row r="287" spans="1:13" ht="15" thickBot="1" x14ac:dyDescent="0.35">
      <c r="A287" s="60">
        <v>45741</v>
      </c>
      <c r="B287" s="26">
        <v>132068</v>
      </c>
      <c r="C287" s="26">
        <v>133662.72</v>
      </c>
      <c r="D287" s="68">
        <v>1.799604</v>
      </c>
      <c r="E287" s="79">
        <f t="shared" ref="E287:E288" si="133">D287/D286-1</f>
        <v>7.6631079741917851E-4</v>
      </c>
      <c r="F287" s="79">
        <f t="shared" ref="F287:F288" si="134">B287/B286-1</f>
        <v>5.6883514441712357E-3</v>
      </c>
      <c r="G287" s="79">
        <f t="shared" ref="G287:G288" si="135">D287/$D$2-1</f>
        <v>7.5677599010108842E-3</v>
      </c>
      <c r="H287" s="79">
        <f t="shared" ref="H287:H288" si="136">B287/$B$2-1</f>
        <v>3.5068481942142959E-2</v>
      </c>
      <c r="I287" s="80" t="str">
        <f t="shared" ref="I287:I288" si="137">TEXT(A287,"mmaaaa")</f>
        <v>032025</v>
      </c>
      <c r="J287" s="79">
        <f t="shared" ref="J287:J288" si="138">IF(I287=I286,(1+E287)*(1+J286)-1,E287)</f>
        <v>3.3702676155847877E-2</v>
      </c>
      <c r="K287" s="79">
        <f t="shared" ref="K287:K288" si="139">IF(I287=I286,(1+F287)*(1+K286)-1,F287)</f>
        <v>7.5481070692758667E-2</v>
      </c>
      <c r="L287" s="81">
        <f t="shared" ref="L287:L288" si="140">L286*(1+E287)</f>
        <v>100.75677599010105</v>
      </c>
      <c r="M287" s="82">
        <f t="shared" ref="M287:M288" si="141">M286*(1+F287)</f>
        <v>103.50684819421429</v>
      </c>
    </row>
    <row r="288" spans="1:13" ht="15" thickBot="1" x14ac:dyDescent="0.35">
      <c r="A288" s="60">
        <v>45742</v>
      </c>
      <c r="B288" s="26">
        <v>132520</v>
      </c>
      <c r="C288" s="26">
        <v>134290.53</v>
      </c>
      <c r="D288" s="68">
        <v>1.808057</v>
      </c>
      <c r="E288" s="79">
        <f t="shared" si="133"/>
        <v>4.6971444828973752E-3</v>
      </c>
      <c r="F288" s="79">
        <f t="shared" si="134"/>
        <v>3.4224793288306632E-3</v>
      </c>
      <c r="G288" s="79">
        <f t="shared" si="135"/>
        <v>1.2300451245575106E-2</v>
      </c>
      <c r="H288" s="79">
        <f t="shared" si="136"/>
        <v>3.8610982425514084E-2</v>
      </c>
      <c r="I288" s="80" t="str">
        <f t="shared" si="137"/>
        <v>032025</v>
      </c>
      <c r="J288" s="79">
        <f t="shared" si="138"/>
        <v>3.8558126978109675E-2</v>
      </c>
      <c r="K288" s="79">
        <f t="shared" si="139"/>
        <v>7.9161882425753394E-2</v>
      </c>
      <c r="L288" s="81">
        <f t="shared" si="140"/>
        <v>101.23004512455748</v>
      </c>
      <c r="M288" s="82">
        <f t="shared" si="141"/>
        <v>103.86109824255139</v>
      </c>
    </row>
    <row r="289" spans="1:13" ht="15" thickBot="1" x14ac:dyDescent="0.35">
      <c r="A289" s="60">
        <v>45743</v>
      </c>
      <c r="B289" s="26">
        <v>133149</v>
      </c>
      <c r="C289" s="26">
        <v>134360.5</v>
      </c>
      <c r="D289" s="68">
        <v>1.808999</v>
      </c>
      <c r="E289" s="79">
        <f t="shared" ref="E289" si="142">D289/D288-1</f>
        <v>5.2100127374310468E-4</v>
      </c>
      <c r="F289" s="79">
        <f t="shared" ref="F289" si="143">B289/B288-1</f>
        <v>4.7464533655297014E-3</v>
      </c>
      <c r="G289" s="79">
        <f t="shared" ref="G289" si="144">D289/$D$2-1</f>
        <v>1.2827861070084712E-2</v>
      </c>
      <c r="H289" s="79">
        <f t="shared" ref="H289" si="145">B289/$B$2-1</f>
        <v>4.3540701018523809E-2</v>
      </c>
      <c r="I289" s="80" t="str">
        <f t="shared" ref="I289" si="146">TEXT(A289,"mmaaaa")</f>
        <v>032025</v>
      </c>
      <c r="J289" s="79">
        <f t="shared" ref="J289" si="147">IF(I289=I288,(1+E289)*(1+J288)-1,E289)</f>
        <v>3.9099217085121429E-2</v>
      </c>
      <c r="K289" s="79">
        <f t="shared" ref="K289" si="148">IF(I289=I288,(1+F289)*(1+K288)-1,F289)</f>
        <v>8.4284073974544516E-2</v>
      </c>
      <c r="L289" s="81">
        <f t="shared" ref="L289" si="149">L288*(1+E289)</f>
        <v>101.28278610700845</v>
      </c>
      <c r="M289" s="82">
        <f t="shared" ref="M289" si="150">M288*(1+F289)</f>
        <v>104.35407010185236</v>
      </c>
    </row>
    <row r="290" spans="1:13" ht="15" thickBot="1" x14ac:dyDescent="0.35">
      <c r="A290" s="60">
        <v>45744</v>
      </c>
      <c r="B290" s="26">
        <v>131902</v>
      </c>
      <c r="C290" s="26">
        <v>133440.13</v>
      </c>
      <c r="D290" s="68">
        <v>1.7966070000000001</v>
      </c>
      <c r="E290" s="79">
        <f t="shared" ref="E290:E291" si="151">D290/D289-1</f>
        <v>-6.8501972637906583E-3</v>
      </c>
      <c r="F290" s="79">
        <f t="shared" ref="F290:F291" si="152">B290/B289-1</f>
        <v>-9.3654477314887297E-3</v>
      </c>
      <c r="G290" s="79">
        <f t="shared" ref="G290:G291" si="153">D290/$D$2-1</f>
        <v>5.8897904274914925E-3</v>
      </c>
      <c r="H290" s="79">
        <f t="shared" ref="H290:H291" si="154">B290/$B$2-1</f>
        <v>3.3767475127453483E-2</v>
      </c>
      <c r="I290" s="80" t="str">
        <f t="shared" ref="I290:I291" si="155">TEXT(A290,"mmaaaa")</f>
        <v>032025</v>
      </c>
      <c r="J290" s="79">
        <f t="shared" ref="J290:J291" si="156">IF(I290=I289,(1+E290)*(1+J289)-1,E290)</f>
        <v>3.1981182471437997E-2</v>
      </c>
      <c r="K290" s="79">
        <f t="shared" ref="K290:K291" si="157">IF(I290=I289,(1+F290)*(1+K289)-1,F290)</f>
        <v>7.4129268153650285E-2</v>
      </c>
      <c r="L290" s="81">
        <f t="shared" ref="L290:L291" si="158">L289*(1+E290)</f>
        <v>100.58897904274913</v>
      </c>
      <c r="M290" s="82">
        <f t="shared" ref="M290:M291" si="159">M289*(1+F290)</f>
        <v>103.37674751274535</v>
      </c>
    </row>
    <row r="291" spans="1:13" ht="15" thickBot="1" x14ac:dyDescent="0.35">
      <c r="A291" s="60">
        <v>45747</v>
      </c>
      <c r="B291" s="26">
        <v>130260</v>
      </c>
      <c r="C291" s="26">
        <v>132059.6</v>
      </c>
      <c r="D291" s="68">
        <v>1.7780199999999999</v>
      </c>
      <c r="E291" s="79">
        <f t="shared" si="151"/>
        <v>-1.0345612590844877E-2</v>
      </c>
      <c r="F291" s="79">
        <f t="shared" si="152"/>
        <v>-1.2448636108626121E-2</v>
      </c>
      <c r="G291" s="79">
        <f t="shared" si="153"/>
        <v>-4.5167556533575182E-3</v>
      </c>
      <c r="H291" s="79">
        <f t="shared" si="154"/>
        <v>2.0898480008658682E-2</v>
      </c>
      <c r="I291" s="80" t="str">
        <f t="shared" si="155"/>
        <v>032025</v>
      </c>
      <c r="J291" s="79">
        <f t="shared" si="156"/>
        <v>2.1304704956546461E-2</v>
      </c>
      <c r="K291" s="79">
        <f t="shared" si="157"/>
        <v>6.0757823760780649E-2</v>
      </c>
      <c r="L291" s="81">
        <f t="shared" si="158"/>
        <v>99.548324434664238</v>
      </c>
      <c r="M291" s="82">
        <f t="shared" si="159"/>
        <v>102.08984800086587</v>
      </c>
    </row>
    <row r="292" spans="1:13" ht="15" thickBot="1" x14ac:dyDescent="0.35">
      <c r="A292" s="60">
        <v>45748</v>
      </c>
      <c r="B292" s="26">
        <v>131147</v>
      </c>
      <c r="C292" s="26">
        <v>132669.26999999999</v>
      </c>
      <c r="D292" s="68">
        <v>1.7862290000000001</v>
      </c>
      <c r="E292" s="79">
        <f t="shared" ref="E292:E293" si="160">D292/D291-1</f>
        <v>4.6169334428185493E-3</v>
      </c>
      <c r="F292" s="79">
        <f t="shared" ref="F292:F293" si="161">B292/B291-1</f>
        <v>6.8094580070627853E-3</v>
      </c>
      <c r="G292" s="79">
        <f t="shared" ref="G292:G293" si="162">D292/$D$2-1</f>
        <v>7.9324229232069499E-5</v>
      </c>
      <c r="H292" s="79">
        <f t="shared" ref="H292:H293" si="163">B292/$B$2-1</f>
        <v>2.7850245337751822E-2</v>
      </c>
      <c r="I292" s="80" t="str">
        <f t="shared" ref="I292:I293" si="164">TEXT(A292,"mmaaaa")</f>
        <v>042025</v>
      </c>
      <c r="J292" s="79">
        <f t="shared" ref="J292:J293" si="165">IF(I292=I291,(1+E292)*(1+J291)-1,E292)</f>
        <v>4.6169334428185493E-3</v>
      </c>
      <c r="K292" s="79">
        <f t="shared" ref="K292:K293" si="166">IF(I292=I291,(1+F292)*(1+K291)-1,F292)</f>
        <v>6.8094580070627853E-3</v>
      </c>
      <c r="L292" s="81">
        <f t="shared" ref="L292:L293" si="167">L291*(1+E292)</f>
        <v>100.00793242292319</v>
      </c>
      <c r="M292" s="82">
        <f t="shared" ref="M292:M293" si="168">M291*(1+F292)</f>
        <v>102.78502453377519</v>
      </c>
    </row>
    <row r="293" spans="1:13" ht="15" thickBot="1" x14ac:dyDescent="0.35">
      <c r="A293" s="60">
        <v>45749</v>
      </c>
      <c r="B293" s="26">
        <v>131190</v>
      </c>
      <c r="C293" s="26">
        <v>132447.88</v>
      </c>
      <c r="D293" s="68">
        <v>1.7832479999999999</v>
      </c>
      <c r="E293" s="79">
        <f t="shared" si="160"/>
        <v>-1.6688789623279243E-3</v>
      </c>
      <c r="F293" s="79">
        <f t="shared" si="161"/>
        <v>3.2787635248987534E-4</v>
      </c>
      <c r="G293" s="79">
        <f t="shared" si="162"/>
        <v>-1.5896871156333425E-3</v>
      </c>
      <c r="H293" s="79">
        <f t="shared" si="163"/>
        <v>2.8187253127099243E-2</v>
      </c>
      <c r="I293" s="80" t="str">
        <f t="shared" si="164"/>
        <v>042025</v>
      </c>
      <c r="J293" s="79">
        <f t="shared" si="165"/>
        <v>2.9403493773973999E-3</v>
      </c>
      <c r="K293" s="79">
        <f t="shared" si="166"/>
        <v>7.1395670198064476E-3</v>
      </c>
      <c r="L293" s="81">
        <f t="shared" si="167"/>
        <v>99.841031288436668</v>
      </c>
      <c r="M293" s="82">
        <f t="shared" si="168"/>
        <v>102.8187253127099</v>
      </c>
    </row>
    <row r="294" spans="1:13" ht="15" thickBot="1" x14ac:dyDescent="0.35">
      <c r="A294" s="60">
        <v>45750</v>
      </c>
      <c r="B294" s="26">
        <v>131141</v>
      </c>
      <c r="C294" s="26">
        <v>130887.9</v>
      </c>
      <c r="D294" s="68">
        <v>1.7622450000000001</v>
      </c>
      <c r="E294" s="79">
        <f t="shared" ref="E294:E297" si="169">D294/D293-1</f>
        <v>-1.1777946757826063E-2</v>
      </c>
      <c r="F294" s="79">
        <f t="shared" ref="F294:F297" si="170">B294/B293-1</f>
        <v>-3.7350407805469832E-4</v>
      </c>
      <c r="G294" s="79">
        <f t="shared" ref="G294:G297" si="171">D294/$D$2-1</f>
        <v>-1.3348910623249943E-2</v>
      </c>
      <c r="H294" s="79">
        <f t="shared" ref="H294:H297" si="172">B294/$B$2-1</f>
        <v>2.780322099505228E-2</v>
      </c>
      <c r="I294" s="80" t="str">
        <f t="shared" ref="I294:I297" si="173">TEXT(A294,"mmaaaa")</f>
        <v>042025</v>
      </c>
      <c r="J294" s="79">
        <f t="shared" ref="J294:J297" si="174">IF(I294=I293,(1+E294)*(1+J293)-1,E294)</f>
        <v>-8.8722286588450716E-3</v>
      </c>
      <c r="K294" s="79">
        <f t="shared" ref="K294:K297" si="175">IF(I294=I293,(1+F294)*(1+K293)-1,F294)</f>
        <v>6.763396284354295E-3</v>
      </c>
      <c r="L294" s="81">
        <f t="shared" ref="L294:L297" si="176">L293*(1+E294)</f>
        <v>98.665108937675015</v>
      </c>
      <c r="M294" s="82">
        <f t="shared" ref="M294:M297" si="177">M293*(1+F294)</f>
        <v>102.78032209950521</v>
      </c>
    </row>
    <row r="295" spans="1:13" ht="15" thickBot="1" x14ac:dyDescent="0.35">
      <c r="A295" s="60">
        <v>45751</v>
      </c>
      <c r="B295" s="26">
        <v>127256</v>
      </c>
      <c r="C295" s="26">
        <v>127154.27</v>
      </c>
      <c r="D295" s="68">
        <v>1.7119759999999999</v>
      </c>
      <c r="E295" s="79">
        <f t="shared" si="169"/>
        <v>-2.8525545539922148E-2</v>
      </c>
      <c r="F295" s="79">
        <f t="shared" si="170"/>
        <v>-2.9624602527051014E-2</v>
      </c>
      <c r="G295" s="79">
        <f t="shared" si="171"/>
        <v>-4.1493671205280247E-2</v>
      </c>
      <c r="H295" s="79">
        <f t="shared" si="172"/>
        <v>-2.6450409029489252E-3</v>
      </c>
      <c r="I295" s="80" t="str">
        <f t="shared" si="173"/>
        <v>042025</v>
      </c>
      <c r="J295" s="79">
        <f t="shared" si="174"/>
        <v>-3.7144689036118783E-2</v>
      </c>
      <c r="K295" s="79">
        <f t="shared" si="175"/>
        <v>-2.3061569169353646E-2</v>
      </c>
      <c r="L295" s="81">
        <f t="shared" si="176"/>
        <v>95.850632879471988</v>
      </c>
      <c r="M295" s="82">
        <f t="shared" si="177"/>
        <v>99.735495909705094</v>
      </c>
    </row>
    <row r="296" spans="1:13" ht="15" thickBot="1" x14ac:dyDescent="0.35">
      <c r="A296" s="60">
        <v>45754</v>
      </c>
      <c r="B296" s="26">
        <v>125588</v>
      </c>
      <c r="C296" s="26">
        <v>116215.1</v>
      </c>
      <c r="D296" s="68">
        <v>1.713565</v>
      </c>
      <c r="E296" s="79">
        <f t="shared" si="169"/>
        <v>9.2816721729738205E-4</v>
      </c>
      <c r="F296" s="79">
        <f t="shared" si="170"/>
        <v>-1.310743697743133E-2</v>
      </c>
      <c r="G296" s="79">
        <f t="shared" si="171"/>
        <v>-4.060401705332084E-2</v>
      </c>
      <c r="H296" s="79">
        <f t="shared" si="172"/>
        <v>-1.5717808173442149E-2</v>
      </c>
      <c r="I296" s="80" t="str">
        <f t="shared" si="173"/>
        <v>042025</v>
      </c>
      <c r="J296" s="79">
        <f t="shared" si="174"/>
        <v>-3.6250998301481485E-2</v>
      </c>
      <c r="K296" s="79">
        <f t="shared" si="175"/>
        <v>-3.5866728082296961E-2</v>
      </c>
      <c r="L296" s="81">
        <f t="shared" si="176"/>
        <v>95.939598294667917</v>
      </c>
      <c r="M296" s="82">
        <f t="shared" si="177"/>
        <v>98.428219182655781</v>
      </c>
    </row>
    <row r="297" spans="1:13" ht="15" thickBot="1" x14ac:dyDescent="0.35">
      <c r="A297" s="60">
        <v>45755</v>
      </c>
      <c r="B297" s="26">
        <v>123932</v>
      </c>
      <c r="C297" s="26">
        <v>115156.59</v>
      </c>
      <c r="D297" s="68">
        <v>1.6979569999999999</v>
      </c>
      <c r="E297" s="79">
        <f t="shared" si="169"/>
        <v>-9.1084960302060258E-3</v>
      </c>
      <c r="F297" s="79">
        <f t="shared" si="170"/>
        <v>-1.3185973182151201E-2</v>
      </c>
      <c r="G297" s="79">
        <f t="shared" si="171"/>
        <v>-4.9342671555386297E-2</v>
      </c>
      <c r="H297" s="79">
        <f t="shared" si="172"/>
        <v>-2.8696526758536067E-2</v>
      </c>
      <c r="I297" s="80" t="str">
        <f t="shared" si="173"/>
        <v>042025</v>
      </c>
      <c r="J297" s="79">
        <f t="shared" si="174"/>
        <v>-4.5029302257567516E-2</v>
      </c>
      <c r="K297" s="79">
        <f t="shared" si="175"/>
        <v>-4.8579763549823518E-2</v>
      </c>
      <c r="L297" s="81">
        <f t="shared" si="176"/>
        <v>95.06573284446138</v>
      </c>
      <c r="M297" s="82">
        <f t="shared" si="177"/>
        <v>97.130347324146385</v>
      </c>
    </row>
    <row r="298" spans="1:13" ht="15" thickBot="1" x14ac:dyDescent="0.35">
      <c r="A298" s="60">
        <v>45756</v>
      </c>
      <c r="B298" s="26">
        <v>127402</v>
      </c>
      <c r="C298" s="26">
        <v>118502.33</v>
      </c>
      <c r="D298" s="68">
        <v>1.7472890000000001</v>
      </c>
      <c r="E298" s="79">
        <f t="shared" ref="E298:E300" si="178">D298/D297-1</f>
        <v>2.9053739287861813E-2</v>
      </c>
      <c r="F298" s="79">
        <f t="shared" ref="F298:F300" si="179">B298/B297-1</f>
        <v>2.7999225381660997E-2</v>
      </c>
      <c r="G298" s="79">
        <f t="shared" ref="G298:G300" si="180">D298/$D$2-1</f>
        <v>-2.1722521382661175E-2</v>
      </c>
      <c r="H298" s="79">
        <f t="shared" ref="H298:H300" si="181">B298/$B$2-1</f>
        <v>-1.5007818972583298E-3</v>
      </c>
      <c r="I298" s="80" t="str">
        <f t="shared" ref="I298:I300" si="182">TEXT(A298,"mmaaaa")</f>
        <v>042025</v>
      </c>
      <c r="J298" s="79">
        <f t="shared" ref="J298:J300" si="183">IF(I298=I297,(1+E298)*(1+J297)-1,E298)</f>
        <v>-1.7283832577811409E-2</v>
      </c>
      <c r="K298" s="79">
        <f t="shared" ref="K298:K300" si="184">IF(I298=I297,(1+F298)*(1+K297)-1,F298)</f>
        <v>-2.1940733916781863E-2</v>
      </c>
      <c r="L298" s="81">
        <f t="shared" ref="L298:L300" si="185">L297*(1+E298)</f>
        <v>97.827747861733883</v>
      </c>
      <c r="M298" s="82">
        <f t="shared" ref="M298:M300" si="186">M297*(1+F298)</f>
        <v>99.849921810274168</v>
      </c>
    </row>
    <row r="299" spans="1:13" ht="15" thickBot="1" x14ac:dyDescent="0.35">
      <c r="A299" s="60">
        <v>45757</v>
      </c>
      <c r="B299" s="26">
        <v>126355</v>
      </c>
      <c r="C299" s="26">
        <v>116697.75</v>
      </c>
      <c r="D299" s="68">
        <v>1.7206809999999999</v>
      </c>
      <c r="E299" s="79">
        <f t="shared" si="178"/>
        <v>-1.5228162027003056E-2</v>
      </c>
      <c r="F299" s="79">
        <f t="shared" si="179"/>
        <v>-8.2180813488014204E-3</v>
      </c>
      <c r="G299" s="79">
        <f t="shared" si="180"/>
        <v>-3.6619889334414069E-2</v>
      </c>
      <c r="H299" s="79">
        <f t="shared" si="181"/>
        <v>-9.706529698341182E-3</v>
      </c>
      <c r="I299" s="80" t="str">
        <f t="shared" si="182"/>
        <v>042025</v>
      </c>
      <c r="J299" s="79">
        <f t="shared" si="183"/>
        <v>-3.2248793601871939E-2</v>
      </c>
      <c r="K299" s="79">
        <f t="shared" si="184"/>
        <v>-2.9978504529402761E-2</v>
      </c>
      <c r="L299" s="81">
        <f t="shared" si="185"/>
        <v>96.338011066558593</v>
      </c>
      <c r="M299" s="82">
        <f t="shared" si="186"/>
        <v>99.02934703016588</v>
      </c>
    </row>
    <row r="300" spans="1:13" ht="15" thickBot="1" x14ac:dyDescent="0.35">
      <c r="A300" s="60">
        <v>45758</v>
      </c>
      <c r="B300" s="26">
        <v>127682</v>
      </c>
      <c r="C300" s="26">
        <v>117806.57</v>
      </c>
      <c r="D300" s="68">
        <v>1.737031</v>
      </c>
      <c r="E300" s="79">
        <f t="shared" si="178"/>
        <v>9.5020518039079516E-3</v>
      </c>
      <c r="F300" s="79">
        <f t="shared" si="179"/>
        <v>1.0502156622215209E-2</v>
      </c>
      <c r="G300" s="79">
        <f t="shared" si="180"/>
        <v>-2.7465801616015084E-2</v>
      </c>
      <c r="H300" s="79">
        <f t="shared" si="181"/>
        <v>6.9368742872377709E-4</v>
      </c>
      <c r="I300" s="80" t="str">
        <f t="shared" si="182"/>
        <v>042025</v>
      </c>
      <c r="J300" s="79">
        <f t="shared" si="183"/>
        <v>-2.3053171505382553E-2</v>
      </c>
      <c r="K300" s="79">
        <f t="shared" si="184"/>
        <v>-1.9791186857055165E-2</v>
      </c>
      <c r="L300" s="81">
        <f t="shared" si="185"/>
        <v>97.253419838398486</v>
      </c>
      <c r="M300" s="82">
        <f t="shared" si="186"/>
        <v>100.06936874287238</v>
      </c>
    </row>
    <row r="301" spans="1:13" ht="15" thickBot="1" x14ac:dyDescent="0.35">
      <c r="A301" s="60">
        <v>45761</v>
      </c>
      <c r="B301" s="26">
        <v>129454</v>
      </c>
      <c r="C301" s="26">
        <v>118628.72</v>
      </c>
      <c r="D301" s="68">
        <v>1.749153</v>
      </c>
      <c r="E301" s="79">
        <f t="shared" ref="E301" si="187">D301/D300-1</f>
        <v>6.9785743605035311E-3</v>
      </c>
      <c r="F301" s="79">
        <f t="shared" ref="F301" si="188">B301/B300-1</f>
        <v>1.3878228724487407E-2</v>
      </c>
      <c r="G301" s="79">
        <f t="shared" ref="G301" si="189">D301/$D$2-1</f>
        <v>-2.067889939445966E-2</v>
      </c>
      <c r="H301" s="79">
        <f t="shared" ref="H301" si="190">B301/$B$2-1</f>
        <v>1.4581543306010358E-2</v>
      </c>
      <c r="I301" s="80" t="str">
        <f t="shared" ref="I301" si="191">TEXT(A301,"mmaaaa")</f>
        <v>042025</v>
      </c>
      <c r="J301" s="79">
        <f t="shared" ref="J301" si="192">IF(I301=I300,(1+E301)*(1+J300)-1,E301)</f>
        <v>-1.6235475416474743E-2</v>
      </c>
      <c r="K301" s="79">
        <f t="shared" ref="K301" si="193">IF(I301=I300,(1+F301)*(1+K300)-1,F301)</f>
        <v>-6.1876247504990545E-3</v>
      </c>
      <c r="L301" s="81">
        <f t="shared" ref="L301" si="194">L300*(1+E301)</f>
        <v>97.932110060554024</v>
      </c>
      <c r="M301" s="82">
        <f t="shared" ref="M301" si="195">M300*(1+F301)</f>
        <v>101.45815433060103</v>
      </c>
    </row>
    <row r="302" spans="1:13" ht="15" thickBot="1" x14ac:dyDescent="0.35">
      <c r="A302" s="60">
        <v>45762</v>
      </c>
      <c r="B302" s="26">
        <v>129245</v>
      </c>
      <c r="C302" s="26">
        <v>117992.73</v>
      </c>
      <c r="D302" s="68">
        <v>1.739776</v>
      </c>
      <c r="E302" s="79">
        <f t="shared" ref="E302" si="196">D302/D301-1</f>
        <v>-5.360880380389843E-3</v>
      </c>
      <c r="F302" s="79">
        <f t="shared" ref="F302" si="197">B302/B301-1</f>
        <v>-1.6144730946899832E-3</v>
      </c>
      <c r="G302" s="79">
        <f t="shared" ref="G302" si="198">D302/$D$2-1</f>
        <v>-2.5928922668797649E-2</v>
      </c>
      <c r="H302" s="79">
        <f t="shared" ref="H302" si="199">B302/$B$2-1</f>
        <v>1.2943528701973683E-2</v>
      </c>
      <c r="I302" s="80" t="str">
        <f t="shared" ref="I302" si="200">TEXT(A302,"mmaaaa")</f>
        <v>042025</v>
      </c>
      <c r="J302" s="79">
        <f t="shared" ref="J302" si="201">IF(I302=I301,(1+E302)*(1+J301)-1,E302)</f>
        <v>-2.1509319355238143E-2</v>
      </c>
      <c r="K302" s="79">
        <f t="shared" ref="K302" si="202">IF(I302=I301,(1+F302)*(1+K301)-1,F302)</f>
        <v>-7.7921080915093199E-3</v>
      </c>
      <c r="L302" s="81">
        <f t="shared" ref="L302" si="203">L301*(1+E302)</f>
        <v>97.407107733120228</v>
      </c>
      <c r="M302" s="82">
        <f t="shared" ref="M302" si="204">M301*(1+F302)</f>
        <v>101.29435287019737</v>
      </c>
    </row>
    <row r="303" spans="1:13" ht="15" thickBot="1" x14ac:dyDescent="0.35">
      <c r="A303" s="60">
        <v>45763</v>
      </c>
      <c r="B303" s="26">
        <v>128317</v>
      </c>
      <c r="C303" s="26">
        <v>116822.12</v>
      </c>
      <c r="D303" s="68">
        <v>1.722515</v>
      </c>
      <c r="E303" s="79">
        <f t="shared" ref="E303:E304" si="205">D303/D302-1</f>
        <v>-9.9213921792230542E-3</v>
      </c>
      <c r="F303" s="79">
        <f t="shared" ref="F303:F304" si="206">B303/B302-1</f>
        <v>-7.1801617083833147E-3</v>
      </c>
      <c r="G303" s="79">
        <f t="shared" ref="G303:G304" si="207">D303/$D$2-1</f>
        <v>-3.5593063837438765E-2</v>
      </c>
      <c r="H303" s="79">
        <f t="shared" ref="H303:H304" si="208">B303/$B$2-1</f>
        <v>5.6704303644330434E-3</v>
      </c>
      <c r="I303" s="80" t="str">
        <f t="shared" ref="I303:I304" si="209">TEXT(A303,"mmaaaa")</f>
        <v>042025</v>
      </c>
      <c r="J303" s="79">
        <f t="shared" ref="J303:J304" si="210">IF(I303=I302,(1+E303)*(1+J302)-1,E303)</f>
        <v>-3.1217309141629679E-2</v>
      </c>
      <c r="K303" s="79">
        <f t="shared" ref="K303:K304" si="211">IF(I303=I302,(1+F303)*(1+K302)-1,F303)</f>
        <v>-1.4916321203746419E-2</v>
      </c>
      <c r="L303" s="81">
        <f t="shared" ref="L303:L304" si="212">L302*(1+E303)</f>
        <v>96.440693616256112</v>
      </c>
      <c r="M303" s="82">
        <f t="shared" ref="M303:M304" si="213">M302*(1+F303)</f>
        <v>100.56704303644331</v>
      </c>
    </row>
    <row r="304" spans="1:13" ht="15" thickBot="1" x14ac:dyDescent="0.35">
      <c r="A304" s="60">
        <v>45764</v>
      </c>
      <c r="B304" s="26">
        <v>129650</v>
      </c>
      <c r="C304" s="26">
        <v>117875.9</v>
      </c>
      <c r="D304" s="68">
        <v>1.7380530000000001</v>
      </c>
      <c r="E304" s="79">
        <f t="shared" si="205"/>
        <v>9.0205310258546501E-3</v>
      </c>
      <c r="F304" s="79">
        <f t="shared" si="206"/>
        <v>1.038833513875792E-2</v>
      </c>
      <c r="G304" s="79">
        <f t="shared" si="207"/>
        <v>-2.6893601148235025E-2</v>
      </c>
      <c r="H304" s="79">
        <f t="shared" si="208"/>
        <v>1.6117671834197767E-2</v>
      </c>
      <c r="I304" s="80" t="str">
        <f t="shared" si="209"/>
        <v>042025</v>
      </c>
      <c r="J304" s="79">
        <f t="shared" si="210"/>
        <v>-2.247837482143078E-2</v>
      </c>
      <c r="K304" s="79">
        <f t="shared" si="211"/>
        <v>-4.6829418086903329E-3</v>
      </c>
      <c r="L304" s="81">
        <f t="shared" si="212"/>
        <v>97.310639885176499</v>
      </c>
      <c r="M304" s="82">
        <f t="shared" si="213"/>
        <v>101.61176718341977</v>
      </c>
    </row>
    <row r="305" spans="1:13" ht="15" thickBot="1" x14ac:dyDescent="0.35">
      <c r="A305" s="60">
        <v>45769</v>
      </c>
      <c r="B305" s="26">
        <v>130464</v>
      </c>
      <c r="C305" s="26">
        <v>118099.56</v>
      </c>
      <c r="D305" s="68">
        <v>1.7413511951399347</v>
      </c>
      <c r="E305" s="79">
        <f t="shared" ref="E305:E308" si="214">D305/D304-1</f>
        <v>1.8976378395449967E-3</v>
      </c>
      <c r="F305" s="79">
        <f t="shared" ref="F305:F308" si="215">B305/B304-1</f>
        <v>6.2784419591206397E-3</v>
      </c>
      <c r="G305" s="79">
        <f t="shared" ref="G305:G308" si="216">D305/$D$2-1</f>
        <v>-2.5046997623870526E-2</v>
      </c>
      <c r="H305" s="79">
        <f t="shared" ref="H305:H308" si="217">B305/$B$2-1</f>
        <v>2.2497307660445554E-2</v>
      </c>
      <c r="I305" s="80" t="str">
        <f t="shared" ref="I305:I308" si="218">TEXT(A305,"mmaaaa")</f>
        <v>042025</v>
      </c>
      <c r="J305" s="79">
        <f t="shared" ref="J305:J308" si="219">IF(I305=I304,(1+E305)*(1+J304)-1,E305)</f>
        <v>-2.0623392796518369E-2</v>
      </c>
      <c r="K305" s="79">
        <f t="shared" ref="K305:K308" si="220">IF(I305=I304,(1+F305)*(1+K304)-1,F305)</f>
        <v>1.5660985720864495E-3</v>
      </c>
      <c r="L305" s="81">
        <f t="shared" ref="L305:L308" si="221">L304*(1+E305)</f>
        <v>97.495300237612952</v>
      </c>
      <c r="M305" s="82">
        <f t="shared" ref="M305:M308" si="222">M304*(1+F305)</f>
        <v>102.24973076604455</v>
      </c>
    </row>
    <row r="306" spans="1:13" ht="15" thickBot="1" x14ac:dyDescent="0.35">
      <c r="A306" s="60">
        <f>A305+1</f>
        <v>45770</v>
      </c>
      <c r="B306" s="26">
        <v>132216</v>
      </c>
      <c r="C306" s="26">
        <v>118888.93</v>
      </c>
      <c r="D306" s="68">
        <v>1.7529902765463989</v>
      </c>
      <c r="E306" s="79">
        <f t="shared" si="214"/>
        <v>6.6839368410855915E-3</v>
      </c>
      <c r="F306" s="79">
        <f t="shared" si="215"/>
        <v>1.3428991905813037E-2</v>
      </c>
      <c r="G306" s="79">
        <f t="shared" si="216"/>
        <v>-1.8530473332961761E-2</v>
      </c>
      <c r="H306" s="79">
        <f t="shared" si="217"/>
        <v>3.6228415728733365E-2</v>
      </c>
      <c r="I306" s="80" t="str">
        <f t="shared" si="218"/>
        <v>042025</v>
      </c>
      <c r="J306" s="79">
        <f t="shared" si="219"/>
        <v>-1.4077301410333587E-2</v>
      </c>
      <c r="K306" s="79">
        <f t="shared" si="220"/>
        <v>1.5016121602947852E-2</v>
      </c>
      <c r="L306" s="81">
        <f t="shared" si="221"/>
        <v>98.146952666703839</v>
      </c>
      <c r="M306" s="82">
        <f t="shared" si="222"/>
        <v>103.62284157287333</v>
      </c>
    </row>
    <row r="307" spans="1:13" ht="15" thickBot="1" x14ac:dyDescent="0.35">
      <c r="A307" s="60">
        <f>A306+1</f>
        <v>45771</v>
      </c>
      <c r="B307" s="26">
        <v>134580</v>
      </c>
      <c r="C307" s="26">
        <v>120667.53</v>
      </c>
      <c r="D307" s="68">
        <v>1.7792153296767907</v>
      </c>
      <c r="E307" s="79">
        <f t="shared" si="214"/>
        <v>1.4960181742740941E-2</v>
      </c>
      <c r="F307" s="79">
        <f t="shared" si="215"/>
        <v>1.7879833000544521E-2</v>
      </c>
      <c r="G307" s="79">
        <f t="shared" si="216"/>
        <v>-3.8475108390608748E-3</v>
      </c>
      <c r="H307" s="79">
        <f t="shared" si="217"/>
        <v>5.4756006752382014E-2</v>
      </c>
      <c r="I307" s="80" t="str">
        <f t="shared" si="218"/>
        <v>042025</v>
      </c>
      <c r="J307" s="79">
        <f t="shared" si="219"/>
        <v>6.72281344861414E-4</v>
      </c>
      <c r="K307" s="79">
        <f t="shared" si="220"/>
        <v>3.3164440350069047E-2</v>
      </c>
      <c r="L307" s="81">
        <f t="shared" si="221"/>
        <v>99.615248916093918</v>
      </c>
      <c r="M307" s="82">
        <f t="shared" si="222"/>
        <v>105.47560067523818</v>
      </c>
    </row>
    <row r="308" spans="1:13" ht="15" thickBot="1" x14ac:dyDescent="0.35">
      <c r="A308" s="60">
        <f>A307+1</f>
        <v>45772</v>
      </c>
      <c r="B308" s="26">
        <v>134739</v>
      </c>
      <c r="C308" s="26">
        <v>120872.73</v>
      </c>
      <c r="D308" s="68">
        <v>1.7822409570816915</v>
      </c>
      <c r="E308" s="79">
        <f t="shared" si="214"/>
        <v>1.7005403193386393E-3</v>
      </c>
      <c r="F308" s="79">
        <f t="shared" si="215"/>
        <v>1.1814534106107111E-3</v>
      </c>
      <c r="G308" s="79">
        <f t="shared" si="216"/>
        <v>-2.1535133670331774E-3</v>
      </c>
      <c r="H308" s="79">
        <f t="shared" si="217"/>
        <v>5.6002151833921987E-2</v>
      </c>
      <c r="I308" s="80" t="str">
        <f t="shared" si="218"/>
        <v>042025</v>
      </c>
      <c r="J308" s="79">
        <f t="shared" si="219"/>
        <v>2.3739649057328283E-3</v>
      </c>
      <c r="K308" s="79">
        <f t="shared" si="220"/>
        <v>3.4385076001842263E-2</v>
      </c>
      <c r="L308" s="81">
        <f t="shared" si="221"/>
        <v>99.784648663296693</v>
      </c>
      <c r="M308" s="82">
        <f t="shared" si="222"/>
        <v>105.60021518339215</v>
      </c>
    </row>
    <row r="309" spans="1:13" ht="15" thickBot="1" x14ac:dyDescent="0.35">
      <c r="A309" s="60">
        <f>A308+3</f>
        <v>45775</v>
      </c>
      <c r="B309" s="26">
        <v>135015</v>
      </c>
      <c r="C309" s="26">
        <v>121042.06</v>
      </c>
      <c r="D309" s="68">
        <v>1.784737</v>
      </c>
      <c r="E309" s="79">
        <f t="shared" ref="E309:E311" si="223">D309/D308-1</f>
        <v>1.4005081122114849E-3</v>
      </c>
      <c r="F309" s="79">
        <f t="shared" ref="F309:F311" si="224">B309/B308-1</f>
        <v>2.0484046935185241E-3</v>
      </c>
      <c r="G309" s="79">
        <f t="shared" ref="G309:G311" si="225">D309/$D$2-1</f>
        <v>-7.5602126776197487E-4</v>
      </c>
      <c r="H309" s="79">
        <f t="shared" ref="H309:H311" si="226">B309/$B$2-1</f>
        <v>5.8165271598104251E-2</v>
      </c>
      <c r="I309" s="80" t="str">
        <f t="shared" ref="I309:I311" si="227">TEXT(A309,"mmaaaa")</f>
        <v>042025</v>
      </c>
      <c r="J309" s="79">
        <f t="shared" ref="J309:J311" si="228">IF(I309=I308,(1+E309)*(1+J308)-1,E309)</f>
        <v>3.7777977750528269E-3</v>
      </c>
      <c r="K309" s="79">
        <f t="shared" ref="K309:K311" si="229">IF(I309=I308,(1+F309)*(1+K308)-1,F309)</f>
        <v>3.650391524642993E-2</v>
      </c>
      <c r="L309" s="81">
        <f t="shared" ref="L309:L311" si="230">L308*(1+E309)</f>
        <v>99.924397873223811</v>
      </c>
      <c r="M309" s="82">
        <f t="shared" ref="M309:M311" si="231">M308*(1+F309)</f>
        <v>105.81652715981038</v>
      </c>
    </row>
    <row r="310" spans="1:13" ht="15" thickBot="1" x14ac:dyDescent="0.35">
      <c r="A310" s="60">
        <f>A309+1</f>
        <v>45776</v>
      </c>
      <c r="B310" s="26">
        <v>135093</v>
      </c>
      <c r="C310" s="26">
        <v>121544.67</v>
      </c>
      <c r="D310" s="68">
        <v>1.7921480000000001</v>
      </c>
      <c r="E310" s="79">
        <f t="shared" si="223"/>
        <v>4.1524325432822362E-3</v>
      </c>
      <c r="F310" s="79">
        <f t="shared" si="224"/>
        <v>5.7771358737923606E-4</v>
      </c>
      <c r="G310" s="79">
        <f t="shared" si="225"/>
        <v>3.3932719482046014E-3</v>
      </c>
      <c r="H310" s="79">
        <f t="shared" si="226"/>
        <v>5.8776588053199186E-2</v>
      </c>
      <c r="I310" s="80" t="str">
        <f t="shared" si="227"/>
        <v>042025</v>
      </c>
      <c r="J310" s="79">
        <f t="shared" si="228"/>
        <v>7.9459173687581597E-3</v>
      </c>
      <c r="K310" s="79">
        <f t="shared" si="229"/>
        <v>3.7102717641639638E-2</v>
      </c>
      <c r="L310" s="81">
        <f t="shared" si="230"/>
        <v>100.33932719482047</v>
      </c>
      <c r="M310" s="82">
        <f t="shared" si="231"/>
        <v>105.87765880531988</v>
      </c>
    </row>
    <row r="311" spans="1:13" ht="15" thickBot="1" x14ac:dyDescent="0.35">
      <c r="A311" s="60">
        <f>A310+1</f>
        <v>45777</v>
      </c>
      <c r="B311" s="26">
        <v>135067</v>
      </c>
      <c r="C311" s="26">
        <v>122186.69</v>
      </c>
      <c r="D311" s="68">
        <v>1.801615</v>
      </c>
      <c r="E311" s="79">
        <f t="shared" si="223"/>
        <v>5.2824878302462075E-3</v>
      </c>
      <c r="F311" s="79">
        <f t="shared" si="224"/>
        <v>-1.9246000903083704E-4</v>
      </c>
      <c r="G311" s="79">
        <f t="shared" si="225"/>
        <v>8.6936846962217817E-3</v>
      </c>
      <c r="H311" s="79">
        <f t="shared" si="226"/>
        <v>5.8572815901500874E-2</v>
      </c>
      <c r="I311" s="80" t="str">
        <f t="shared" si="227"/>
        <v>042025</v>
      </c>
      <c r="J311" s="79">
        <f t="shared" si="228"/>
        <v>1.3270379410804889E-2</v>
      </c>
      <c r="K311" s="79">
        <f t="shared" si="229"/>
        <v>3.6903116843236328E-2</v>
      </c>
      <c r="L311" s="81">
        <f t="shared" si="230"/>
        <v>100.8693684696222</v>
      </c>
      <c r="M311" s="82">
        <f t="shared" si="231"/>
        <v>105.85728159015005</v>
      </c>
    </row>
    <row r="312" spans="1:13" ht="15" thickBot="1" x14ac:dyDescent="0.35">
      <c r="A312" s="60">
        <f>A311+2</f>
        <v>45779</v>
      </c>
      <c r="B312" s="26">
        <v>135134</v>
      </c>
      <c r="C312" s="26">
        <v>123086.85</v>
      </c>
      <c r="D312" s="68">
        <v>1.8148869999999999</v>
      </c>
      <c r="E312" s="79">
        <f t="shared" ref="E312:E314" si="232">D312/D311-1</f>
        <v>7.3667237450842915E-3</v>
      </c>
      <c r="F312" s="79">
        <f t="shared" ref="F312:F314" si="233">B312/B311-1</f>
        <v>4.9605010846476283E-4</v>
      </c>
      <c r="G312" s="79">
        <f t="shared" ref="G312:G314" si="234">D312/$D$2-1</f>
        <v>1.6124452414790102E-2</v>
      </c>
      <c r="H312" s="79">
        <f t="shared" ref="H312:H314" si="235">B312/$B$2-1</f>
        <v>5.9097921061646685E-2</v>
      </c>
      <c r="I312" s="80" t="str">
        <f t="shared" ref="I312:I314" si="236">TEXT(A312,"mmaaaa")</f>
        <v>052025</v>
      </c>
      <c r="J312" s="79">
        <f t="shared" ref="J312:J314" si="237">IF(I312=I311,(1+E312)*(1+J311)-1,E312)</f>
        <v>7.3667237450842915E-3</v>
      </c>
      <c r="K312" s="79">
        <f t="shared" ref="K312:K314" si="238">IF(I312=I311,(1+F312)*(1+K311)-1,F312)</f>
        <v>4.9605010846476283E-4</v>
      </c>
      <c r="L312" s="81">
        <f t="shared" ref="L312:L314" si="239">L311*(1+E312)</f>
        <v>101.61244524147902</v>
      </c>
      <c r="M312" s="82">
        <f t="shared" ref="M312:M314" si="240">M311*(1+F312)</f>
        <v>105.90979210616463</v>
      </c>
    </row>
    <row r="313" spans="1:13" ht="15" thickBot="1" x14ac:dyDescent="0.35">
      <c r="A313" s="60">
        <f>A312+3</f>
        <v>45782</v>
      </c>
      <c r="B313" s="26">
        <v>133491</v>
      </c>
      <c r="C313" s="26">
        <v>122384.88</v>
      </c>
      <c r="D313" s="68">
        <v>1.8045370000000001</v>
      </c>
      <c r="E313" s="79">
        <f t="shared" si="232"/>
        <v>-5.7028343913422264E-3</v>
      </c>
      <c r="F313" s="79">
        <f t="shared" si="233"/>
        <v>-1.2158302129737897E-2</v>
      </c>
      <c r="G313" s="79">
        <f t="shared" si="234"/>
        <v>1.0329662941675144E-2</v>
      </c>
      <c r="H313" s="79">
        <f t="shared" si="235"/>
        <v>4.6221088552401701E-2</v>
      </c>
      <c r="I313" s="80" t="str">
        <f t="shared" si="236"/>
        <v>052025</v>
      </c>
      <c r="J313" s="79">
        <f t="shared" si="237"/>
        <v>1.6218781482171263E-3</v>
      </c>
      <c r="K313" s="79">
        <f t="shared" si="238"/>
        <v>-1.1668283148363323E-2</v>
      </c>
      <c r="L313" s="81">
        <f t="shared" si="239"/>
        <v>101.03296629416754</v>
      </c>
      <c r="M313" s="82">
        <f t="shared" si="240"/>
        <v>104.62210885524016</v>
      </c>
    </row>
    <row r="314" spans="1:13" ht="15" thickBot="1" x14ac:dyDescent="0.35">
      <c r="A314" s="60">
        <f>A313+1</f>
        <v>45783</v>
      </c>
      <c r="B314" s="26">
        <v>133516</v>
      </c>
      <c r="C314" s="26">
        <v>122177.5</v>
      </c>
      <c r="D314" s="68">
        <v>1.8014790000000001</v>
      </c>
      <c r="E314" s="79">
        <f t="shared" si="232"/>
        <v>-1.6946175113061734E-3</v>
      </c>
      <c r="F314" s="79">
        <f t="shared" si="233"/>
        <v>1.872785431227264E-4</v>
      </c>
      <c r="G314" s="79">
        <f t="shared" si="234"/>
        <v>8.617540602662066E-3</v>
      </c>
      <c r="H314" s="79">
        <f t="shared" si="235"/>
        <v>4.6417023313650274E-2</v>
      </c>
      <c r="I314" s="80" t="str">
        <f t="shared" si="236"/>
        <v>052025</v>
      </c>
      <c r="J314" s="79">
        <f t="shared" si="237"/>
        <v>-7.5487826200260066E-5</v>
      </c>
      <c r="K314" s="79">
        <f t="shared" si="238"/>
        <v>-1.1483189824309403E-2</v>
      </c>
      <c r="L314" s="81">
        <f t="shared" si="239"/>
        <v>100.86175406026624</v>
      </c>
      <c r="M314" s="82">
        <f t="shared" si="240"/>
        <v>104.641702331365</v>
      </c>
    </row>
    <row r="315" spans="1:13" ht="15" thickBot="1" x14ac:dyDescent="0.35">
      <c r="A315" s="60">
        <f>A314+1</f>
        <v>45784</v>
      </c>
      <c r="B315" s="26">
        <v>133398</v>
      </c>
      <c r="C315" s="26">
        <v>122255.06</v>
      </c>
      <c r="D315" s="68">
        <v>1.8026230000000001</v>
      </c>
      <c r="E315" s="79">
        <f t="shared" ref="E315:E317" si="241">D315/D314-1</f>
        <v>6.3503376947493528E-4</v>
      </c>
      <c r="F315" s="79">
        <f t="shared" ref="F315:F317" si="242">B315/B314-1</f>
        <v>-8.8378920878395828E-4</v>
      </c>
      <c r="G315" s="79">
        <f t="shared" ref="G315:G317" si="243">D315/$D$2-1</f>
        <v>9.2580468014296091E-3</v>
      </c>
      <c r="H315" s="79">
        <f t="shared" ref="H315:H317" si="244">B315/$B$2-1</f>
        <v>4.5492211240557801E-2</v>
      </c>
      <c r="I315" s="80" t="str">
        <f t="shared" ref="I315:I317" si="245">TEXT(A315,"mmaaaa")</f>
        <v>052025</v>
      </c>
      <c r="J315" s="79">
        <f t="shared" ref="J315:J317" si="246">IF(I315=I314,(1+E315)*(1+J314)-1,E315)</f>
        <v>5.5949800595578303E-4</v>
      </c>
      <c r="K315" s="79">
        <f t="shared" ref="K315:K317" si="247">IF(I315=I314,(1+F315)*(1+K314)-1,F315)</f>
        <v>-1.2356830313844269E-2</v>
      </c>
      <c r="L315" s="81">
        <f t="shared" ref="L315:L317" si="248">L314*(1+E315)</f>
        <v>100.92580468014297</v>
      </c>
      <c r="M315" s="82">
        <f t="shared" ref="M315:M317" si="249">M314*(1+F315)</f>
        <v>104.54922112405575</v>
      </c>
    </row>
    <row r="316" spans="1:13" ht="15" thickBot="1" x14ac:dyDescent="0.35">
      <c r="A316" s="60">
        <f>A315+1</f>
        <v>45785</v>
      </c>
      <c r="B316" s="26">
        <v>136232</v>
      </c>
      <c r="C316" s="26">
        <v>123488.72</v>
      </c>
      <c r="D316" s="68">
        <v>1.820813</v>
      </c>
      <c r="E316" s="79">
        <f t="shared" si="241"/>
        <v>1.009085094331974E-2</v>
      </c>
      <c r="F316" s="79">
        <f t="shared" si="242"/>
        <v>2.1244696322283652E-2</v>
      </c>
      <c r="G316" s="79">
        <f t="shared" si="243"/>
        <v>1.9442319315049028E-2</v>
      </c>
      <c r="H316" s="79">
        <f t="shared" si="244"/>
        <v>6.77033757756762E-2</v>
      </c>
      <c r="I316" s="80" t="str">
        <f t="shared" si="245"/>
        <v>052025</v>
      </c>
      <c r="J316" s="79">
        <f t="shared" si="246"/>
        <v>1.0655994760256693E-2</v>
      </c>
      <c r="K316" s="79">
        <f t="shared" si="247"/>
        <v>8.6253489009158191E-3</v>
      </c>
      <c r="L316" s="81">
        <f t="shared" si="248"/>
        <v>101.9442319315049</v>
      </c>
      <c r="M316" s="82">
        <f t="shared" si="249"/>
        <v>106.7703375775676</v>
      </c>
    </row>
    <row r="317" spans="1:13" ht="15" thickBot="1" x14ac:dyDescent="0.35">
      <c r="A317" s="60">
        <f>A316+1</f>
        <v>45786</v>
      </c>
      <c r="B317" s="26">
        <v>136512</v>
      </c>
      <c r="C317" s="26">
        <v>123858.48</v>
      </c>
      <c r="D317" s="68">
        <v>1.826265</v>
      </c>
      <c r="E317" s="79">
        <f t="shared" si="241"/>
        <v>2.9942668467326516E-3</v>
      </c>
      <c r="F317" s="79">
        <f t="shared" si="242"/>
        <v>2.0553173997299723E-3</v>
      </c>
      <c r="G317" s="79">
        <f t="shared" si="243"/>
        <v>2.2494801653930363E-2</v>
      </c>
      <c r="H317" s="79">
        <f t="shared" si="244"/>
        <v>6.9897845101658307E-2</v>
      </c>
      <c r="I317" s="80" t="str">
        <f t="shared" si="245"/>
        <v>052025</v>
      </c>
      <c r="J317" s="79">
        <f t="shared" si="246"/>
        <v>1.368216849881887E-2</v>
      </c>
      <c r="K317" s="79">
        <f t="shared" si="247"/>
        <v>1.0698394130320477E-2</v>
      </c>
      <c r="L317" s="81">
        <f t="shared" si="248"/>
        <v>102.24948016539304</v>
      </c>
      <c r="M317" s="82">
        <f t="shared" si="249"/>
        <v>106.98978451016582</v>
      </c>
    </row>
    <row r="318" spans="1:13" ht="15" thickBot="1" x14ac:dyDescent="0.35">
      <c r="A318" s="60">
        <v>45789</v>
      </c>
      <c r="B318" s="26">
        <v>136563</v>
      </c>
      <c r="C318" s="26">
        <v>124653.35</v>
      </c>
      <c r="D318" s="68">
        <v>1.837985</v>
      </c>
      <c r="E318" s="79">
        <f t="shared" ref="E318" si="250">D318/D317-1</f>
        <v>6.4174695348155897E-3</v>
      </c>
      <c r="F318" s="79">
        <f t="shared" ref="F318" si="251">B318/B317-1</f>
        <v>3.7359353023913577E-4</v>
      </c>
      <c r="G318" s="79">
        <f t="shared" ref="G318" si="252">D318/$D$2-1</f>
        <v>2.9056630893051771E-2</v>
      </c>
      <c r="H318" s="79">
        <f t="shared" ref="H318" si="253">B318/$B$2-1</f>
        <v>7.0297552014605191E-2</v>
      </c>
      <c r="I318" s="80" t="str">
        <f t="shared" ref="I318" si="254">TEXT(A318,"mmaaaa")</f>
        <v>052025</v>
      </c>
      <c r="J318" s="79">
        <f t="shared" ref="J318" si="255">IF(I318=I317,(1+E318)*(1+J317)-1,E318)</f>
        <v>2.0187442933145894E-2</v>
      </c>
      <c r="K318" s="79">
        <f t="shared" ref="K318" si="256">IF(I318=I317,(1+F318)*(1+K317)-1,F318)</f>
        <v>1.107598451139058E-2</v>
      </c>
      <c r="L318" s="81">
        <f t="shared" ref="L318" si="257">L317*(1+E318)</f>
        <v>102.90566308930518</v>
      </c>
      <c r="M318" s="82">
        <f t="shared" ref="M318" si="258">M317*(1+F318)</f>
        <v>107.0297552014605</v>
      </c>
    </row>
    <row r="319" spans="1:13" ht="15" thickBot="1" x14ac:dyDescent="0.35">
      <c r="A319" s="60">
        <f>A318+1</f>
        <v>45790</v>
      </c>
      <c r="B319" s="26">
        <v>138963</v>
      </c>
      <c r="C319" s="26">
        <v>126243.54</v>
      </c>
      <c r="D319" s="68">
        <v>1.861432</v>
      </c>
      <c r="E319" s="79">
        <f t="shared" ref="E319" si="259">D319/D318-1</f>
        <v>1.2756904980182115E-2</v>
      </c>
      <c r="F319" s="79">
        <f t="shared" ref="F319" si="260">B319/B318-1</f>
        <v>1.7574306364095627E-2</v>
      </c>
      <c r="G319" s="79">
        <f t="shared" ref="G319" si="261">D319/$D$2-1</f>
        <v>4.218420855258076E-2</v>
      </c>
      <c r="H319" s="79">
        <f t="shared" ref="H319" si="262">B319/$B$2-1</f>
        <v>8.9107289094451314E-2</v>
      </c>
      <c r="I319" s="80" t="str">
        <f t="shared" ref="I319" si="263">TEXT(A319,"mmaaaa")</f>
        <v>052025</v>
      </c>
      <c r="J319" s="79">
        <f t="shared" ref="J319" si="264">IF(I319=I318,(1+E319)*(1+J318)-1,E319)</f>
        <v>3.3201877204618979E-2</v>
      </c>
      <c r="K319" s="79">
        <f t="shared" ref="K319" si="265">IF(I319=I318,(1+F319)*(1+K318)-1,F319)</f>
        <v>2.8844943620573327E-2</v>
      </c>
      <c r="L319" s="81">
        <f t="shared" ref="L319" si="266">L318*(1+E319)</f>
        <v>104.21842085525807</v>
      </c>
      <c r="M319" s="82">
        <f t="shared" ref="M319:M324" si="267">M318*(1+F319)</f>
        <v>108.91072890944513</v>
      </c>
    </row>
    <row r="320" spans="1:13" ht="15" thickBot="1" x14ac:dyDescent="0.35">
      <c r="A320" s="60">
        <f>A319+1</f>
        <v>45791</v>
      </c>
      <c r="B320" s="26">
        <v>138423</v>
      </c>
      <c r="C320" s="26">
        <v>126193.97</v>
      </c>
      <c r="D320" s="68">
        <v>1.8607014325790299</v>
      </c>
      <c r="E320" s="79">
        <f t="shared" ref="E320:E323" si="268">D320/D319-1</f>
        <v>-3.924760189844001E-4</v>
      </c>
      <c r="F320" s="79">
        <f t="shared" ref="F320:F323" si="269">B320/B319-1</f>
        <v>-3.8859264696358142E-3</v>
      </c>
      <c r="G320" s="79">
        <f t="shared" ref="G320:G323" si="270">D320/$D$2-1</f>
        <v>4.177517624335958E-2</v>
      </c>
      <c r="H320" s="79">
        <f t="shared" ref="H320:H323" si="271">B320/$B$2-1</f>
        <v>8.4875098251486092E-2</v>
      </c>
      <c r="I320" s="80" t="str">
        <f t="shared" ref="I320:I323" si="272">TEXT(A320,"mmaaaa")</f>
        <v>052025</v>
      </c>
      <c r="J320" s="79">
        <f t="shared" ref="J320:J323" si="273">IF(I320=I319,(1+E320)*(1+J319)-1,E320)</f>
        <v>3.2796370245046447E-2</v>
      </c>
      <c r="K320" s="79">
        <f t="shared" ref="K320:K323" si="274">IF(I320=I319,(1+F320)*(1+K319)-1,F320)</f>
        <v>2.4846927821007281E-2</v>
      </c>
      <c r="L320" s="81">
        <f t="shared" ref="L320:L323" si="275">L319*(1+E320)</f>
        <v>104.17751762433596</v>
      </c>
      <c r="M320" s="82">
        <f t="shared" si="267"/>
        <v>108.48750982514858</v>
      </c>
    </row>
    <row r="321" spans="1:13" ht="15" thickBot="1" x14ac:dyDescent="0.35">
      <c r="A321" s="60">
        <f>A320+1</f>
        <v>45792</v>
      </c>
      <c r="B321" s="26">
        <v>139334</v>
      </c>
      <c r="C321" s="26">
        <v>125977.18</v>
      </c>
      <c r="D321" s="68">
        <v>1.8575049132558892</v>
      </c>
      <c r="E321" s="79">
        <f t="shared" si="268"/>
        <v>-1.7179109271229231E-3</v>
      </c>
      <c r="F321" s="79">
        <f t="shared" si="269"/>
        <v>6.5812762329959806E-3</v>
      </c>
      <c r="G321" s="79">
        <f t="shared" si="270"/>
        <v>3.9985499284485693E-2</v>
      </c>
      <c r="H321" s="79">
        <f t="shared" si="271"/>
        <v>9.2014960951377622E-2</v>
      </c>
      <c r="I321" s="80" t="str">
        <f t="shared" si="272"/>
        <v>052025</v>
      </c>
      <c r="J321" s="79">
        <f t="shared" si="273"/>
        <v>3.1022118075109573E-2</v>
      </c>
      <c r="K321" s="79">
        <f t="shared" si="274"/>
        <v>3.1591728549534626E-2</v>
      </c>
      <c r="L321" s="81">
        <f t="shared" si="275"/>
        <v>103.99854992844857</v>
      </c>
      <c r="M321" s="82">
        <f t="shared" si="267"/>
        <v>109.20149609513774</v>
      </c>
    </row>
    <row r="322" spans="1:13" ht="15" thickBot="1" x14ac:dyDescent="0.35">
      <c r="A322" s="60">
        <f>A321+1</f>
        <v>45793</v>
      </c>
      <c r="B322" s="26">
        <v>139187</v>
      </c>
      <c r="C322" s="26">
        <v>123994.64</v>
      </c>
      <c r="D322" s="68">
        <v>1.8282728111344866</v>
      </c>
      <c r="E322" s="79">
        <f t="shared" si="268"/>
        <v>-1.5737294643363153E-2</v>
      </c>
      <c r="F322" s="79">
        <f t="shared" si="269"/>
        <v>-1.0550188755077405E-3</v>
      </c>
      <c r="G322" s="79">
        <f t="shared" si="270"/>
        <v>2.3618941057420795E-2</v>
      </c>
      <c r="H322" s="79">
        <f t="shared" si="271"/>
        <v>9.0862864555236955E-2</v>
      </c>
      <c r="I322" s="80" t="str">
        <f t="shared" si="272"/>
        <v>052025</v>
      </c>
      <c r="J322" s="79">
        <f t="shared" si="273"/>
        <v>1.4796619219137108E-2</v>
      </c>
      <c r="K322" s="79">
        <f t="shared" si="274"/>
        <v>3.050337980409723E-2</v>
      </c>
      <c r="L322" s="81">
        <f t="shared" si="275"/>
        <v>102.36189410574205</v>
      </c>
      <c r="M322" s="82">
        <f t="shared" si="267"/>
        <v>109.08628645552369</v>
      </c>
    </row>
    <row r="323" spans="1:13" ht="15" thickBot="1" x14ac:dyDescent="0.35">
      <c r="A323" s="60">
        <v>45796</v>
      </c>
      <c r="B323" s="26">
        <v>139636</v>
      </c>
      <c r="C323" s="26">
        <v>124211.27</v>
      </c>
      <c r="D323" s="68">
        <v>1.8314669712939586</v>
      </c>
      <c r="E323" s="79">
        <f t="shared" si="268"/>
        <v>1.7470916484778609E-3</v>
      </c>
      <c r="F323" s="79">
        <f t="shared" si="269"/>
        <v>3.225875979796955E-3</v>
      </c>
      <c r="G323" s="79">
        <f t="shared" si="270"/>
        <v>2.5407297160565889E-2</v>
      </c>
      <c r="H323" s="79">
        <f t="shared" si="271"/>
        <v>9.4381852867258198E-2</v>
      </c>
      <c r="I323" s="80" t="str">
        <f t="shared" si="272"/>
        <v>052025</v>
      </c>
      <c r="J323" s="79">
        <f t="shared" si="273"/>
        <v>1.6569561917478381E-2</v>
      </c>
      <c r="K323" s="79">
        <f t="shared" si="274"/>
        <v>3.3827655904106857E-2</v>
      </c>
      <c r="L323" s="81">
        <f t="shared" si="275"/>
        <v>102.54072971605657</v>
      </c>
      <c r="M323" s="82">
        <f t="shared" si="267"/>
        <v>109.43818528672581</v>
      </c>
    </row>
    <row r="324" spans="1:13" ht="15" thickBot="1" x14ac:dyDescent="0.35">
      <c r="A324" s="60">
        <v>45797</v>
      </c>
      <c r="B324" s="26">
        <v>140020</v>
      </c>
      <c r="C324" s="26">
        <v>124322.95</v>
      </c>
      <c r="D324" s="68">
        <v>1.8331136675345985</v>
      </c>
      <c r="E324" s="79">
        <f t="shared" ref="E324" si="276">D324/D323-1</f>
        <v>8.9911326081759668E-4</v>
      </c>
      <c r="F324" s="79">
        <f t="shared" ref="F324" si="277">B324/B323-1</f>
        <v>2.7500071614769972E-3</v>
      </c>
      <c r="G324" s="79">
        <f t="shared" ref="G324" si="278">D324/$D$2-1</f>
        <v>2.6329254459181994E-2</v>
      </c>
      <c r="H324" s="79">
        <f t="shared" ref="H324" si="279">B324/$B$2-1</f>
        <v>9.7391410800033773E-2</v>
      </c>
      <c r="I324" s="80" t="str">
        <f t="shared" ref="I324" si="280">TEXT(A324,"mmaaaa")</f>
        <v>052025</v>
      </c>
      <c r="J324" s="79">
        <f t="shared" ref="J324" si="281">IF(I324=I323,(1+E324)*(1+J323)-1,E324)</f>
        <v>1.7483573091142013E-2</v>
      </c>
      <c r="K324" s="79">
        <f t="shared" ref="K324" si="282">IF(I324=I323,(1+F324)*(1+K323)-1,F324)</f>
        <v>3.6670689361576025E-2</v>
      </c>
      <c r="L324" s="81">
        <f t="shared" ref="L324" si="283">L323*(1+E324)</f>
        <v>102.63292544591819</v>
      </c>
      <c r="M324" s="82">
        <f t="shared" si="267"/>
        <v>109.73914108000335</v>
      </c>
    </row>
    <row r="325" spans="1:13" ht="15" thickBot="1" x14ac:dyDescent="0.35">
      <c r="A325" s="60">
        <v>45798</v>
      </c>
      <c r="B325" s="26">
        <v>137881</v>
      </c>
      <c r="C325" s="26">
        <v>123210.01</v>
      </c>
      <c r="D325" s="68">
        <v>1.816703</v>
      </c>
      <c r="E325" s="79">
        <f t="shared" ref="E325" si="284">D325/D324-1</f>
        <v>-8.9523458502547282E-3</v>
      </c>
      <c r="F325" s="79">
        <f t="shared" ref="F325" si="285">B325/B324-1</f>
        <v>-1.5276389087273246E-2</v>
      </c>
      <c r="G325" s="79">
        <f t="shared" ref="G325" si="286">D325/$D$2-1</f>
        <v>1.7141200017029457E-2</v>
      </c>
      <c r="H325" s="79">
        <f t="shared" ref="H325" si="287">B325/$B$2-1</f>
        <v>8.0627232627620726E-2</v>
      </c>
      <c r="I325" s="80" t="str">
        <f t="shared" ref="I325" si="288">TEXT(A325,"mmaaaa")</f>
        <v>052025</v>
      </c>
      <c r="J325" s="79">
        <f t="shared" ref="J325" si="289">IF(I325=I324,(1+E325)*(1+J324)-1,E325)</f>
        <v>8.3747082478771162E-3</v>
      </c>
      <c r="K325" s="79">
        <f t="shared" ref="K325" si="290">IF(I325=I324,(1+F325)*(1+K324)-1,F325)</f>
        <v>2.0834104555516708E-2</v>
      </c>
      <c r="L325" s="81">
        <f t="shared" ref="L325" si="291">L324*(1+E325)</f>
        <v>101.71412000170292</v>
      </c>
      <c r="M325" s="82">
        <f t="shared" ref="M325" si="292">M324*(1+F325)</f>
        <v>108.06272326276205</v>
      </c>
    </row>
    <row r="326" spans="1:13" ht="15" thickBot="1" x14ac:dyDescent="0.35">
      <c r="A326" s="60">
        <v>45799</v>
      </c>
      <c r="B326" s="26">
        <v>137272</v>
      </c>
      <c r="C326" s="26">
        <v>122404.61</v>
      </c>
      <c r="D326" s="68">
        <v>1.8048280000000001</v>
      </c>
      <c r="E326" s="79">
        <f t="shared" ref="E326:E349" si="293">D326/D325-1</f>
        <v>-6.5365665163760189E-3</v>
      </c>
      <c r="F326" s="79">
        <f t="shared" ref="F326:F349" si="294">B326/B325-1</f>
        <v>-4.4168522131403654E-3</v>
      </c>
      <c r="G326" s="79">
        <f t="shared" ref="G326:G349" si="295">D326/$D$2-1</f>
        <v>1.0492588906571454E-2</v>
      </c>
      <c r="H326" s="79">
        <f t="shared" ref="H326:H349" si="296">B326/$B$2-1</f>
        <v>7.5854261843609772E-2</v>
      </c>
      <c r="I326" s="80" t="str">
        <f t="shared" ref="I326:I349" si="297">TEXT(A326,"mmaaaa")</f>
        <v>052025</v>
      </c>
      <c r="J326" s="79">
        <f t="shared" ref="J326:J349" si="298">IF(I326=I325,(1+E326)*(1+J325)-1,E326)</f>
        <v>1.7833998939835727E-3</v>
      </c>
      <c r="K326" s="79">
        <f t="shared" ref="K326:K349" si="299">IF(I326=I325,(1+F326)*(1+K325)-1,F326)</f>
        <v>1.6325231181561595E-2</v>
      </c>
      <c r="L326" s="81">
        <f t="shared" ref="L326:L349" si="300">L325*(1+E326)</f>
        <v>101.04925889065714</v>
      </c>
      <c r="M326" s="82">
        <f t="shared" ref="M326:M349" si="301">M325*(1+F326)</f>
        <v>107.58542618436094</v>
      </c>
    </row>
    <row r="327" spans="1:13" ht="15" thickBot="1" x14ac:dyDescent="0.35">
      <c r="A327" s="60">
        <v>45800</v>
      </c>
      <c r="B327" s="26">
        <v>137824</v>
      </c>
      <c r="C327" s="26">
        <v>122174.07</v>
      </c>
      <c r="D327" s="68">
        <v>1.801428</v>
      </c>
      <c r="E327" s="79">
        <f t="shared" si="293"/>
        <v>-1.8838360220475581E-3</v>
      </c>
      <c r="F327" s="79">
        <f t="shared" si="294"/>
        <v>4.0212133574217823E-3</v>
      </c>
      <c r="G327" s="79">
        <f t="shared" si="295"/>
        <v>8.5889865675772281E-3</v>
      </c>
      <c r="H327" s="79">
        <f t="shared" si="296"/>
        <v>8.01805013719743E-2</v>
      </c>
      <c r="I327" s="80" t="str">
        <f t="shared" si="297"/>
        <v>052025</v>
      </c>
      <c r="J327" s="79">
        <f t="shared" si="298"/>
        <v>-1.037957610260376E-4</v>
      </c>
      <c r="K327" s="79">
        <f t="shared" si="299"/>
        <v>2.0412091776673691E-2</v>
      </c>
      <c r="L327" s="81">
        <f t="shared" si="300"/>
        <v>100.85889865675772</v>
      </c>
      <c r="M327" s="82">
        <f t="shared" si="301"/>
        <v>108.01805013719741</v>
      </c>
    </row>
    <row r="328" spans="1:13" ht="15" thickBot="1" x14ac:dyDescent="0.35">
      <c r="A328" s="60">
        <v>45803</v>
      </c>
      <c r="B328" s="26">
        <v>138136</v>
      </c>
      <c r="C328" s="26">
        <v>122833.87</v>
      </c>
      <c r="D328" s="68">
        <v>1.8111569999999999</v>
      </c>
      <c r="E328" s="79">
        <f t="shared" si="293"/>
        <v>5.4007154324235973E-3</v>
      </c>
      <c r="F328" s="79">
        <f t="shared" si="294"/>
        <v>2.2637566751799731E-3</v>
      </c>
      <c r="G328" s="79">
        <f t="shared" si="295"/>
        <v>1.4036088672305214E-2</v>
      </c>
      <c r="H328" s="79">
        <f t="shared" si="296"/>
        <v>8.262576719235426E-2</v>
      </c>
      <c r="I328" s="80" t="str">
        <f t="shared" si="297"/>
        <v>052025</v>
      </c>
      <c r="J328" s="79">
        <f t="shared" si="298"/>
        <v>5.2963591000292354E-3</v>
      </c>
      <c r="K328" s="79">
        <f t="shared" si="299"/>
        <v>2.2722056460867446E-2</v>
      </c>
      <c r="L328" s="81">
        <f t="shared" si="300"/>
        <v>101.40360886723052</v>
      </c>
      <c r="M328" s="82">
        <f t="shared" si="301"/>
        <v>108.26257671923541</v>
      </c>
    </row>
    <row r="329" spans="1:13" ht="15" thickBot="1" x14ac:dyDescent="0.35">
      <c r="A329" s="60">
        <v>45804</v>
      </c>
      <c r="B329" s="26">
        <v>139541</v>
      </c>
      <c r="C329" s="26">
        <v>123977.38</v>
      </c>
      <c r="D329" s="68">
        <v>1.8280179999999999</v>
      </c>
      <c r="E329" s="79">
        <f t="shared" si="293"/>
        <v>9.309518722010246E-3</v>
      </c>
      <c r="F329" s="79">
        <f t="shared" si="294"/>
        <v>1.0171135692361055E-2</v>
      </c>
      <c r="G329" s="79">
        <f t="shared" si="295"/>
        <v>2.3476276624594172E-2</v>
      </c>
      <c r="H329" s="79">
        <f t="shared" si="296"/>
        <v>9.3637300774514376E-2</v>
      </c>
      <c r="I329" s="80" t="str">
        <f t="shared" si="297"/>
        <v>052025</v>
      </c>
      <c r="J329" s="79">
        <f t="shared" si="298"/>
        <v>1.4655184376239694E-2</v>
      </c>
      <c r="K329" s="79">
        <f t="shared" si="299"/>
        <v>3.3124301272701384E-2</v>
      </c>
      <c r="L329" s="81">
        <f t="shared" si="300"/>
        <v>102.3476276624594</v>
      </c>
      <c r="M329" s="82">
        <f t="shared" si="301"/>
        <v>109.36373007745141</v>
      </c>
    </row>
    <row r="330" spans="1:13" ht="15" thickBot="1" x14ac:dyDescent="0.35">
      <c r="A330" s="60">
        <v>45805</v>
      </c>
      <c r="B330" s="26">
        <v>138888</v>
      </c>
      <c r="C330" s="26">
        <v>123600.44</v>
      </c>
      <c r="D330" s="68">
        <v>1.82246</v>
      </c>
      <c r="E330" s="79">
        <f t="shared" si="293"/>
        <v>-3.0404514616376721E-3</v>
      </c>
      <c r="F330" s="79">
        <f t="shared" si="294"/>
        <v>-4.6796282096301933E-3</v>
      </c>
      <c r="G330" s="79">
        <f t="shared" si="295"/>
        <v>2.0364446683379445E-2</v>
      </c>
      <c r="H330" s="79">
        <f t="shared" si="296"/>
        <v>8.8519484810706262E-2</v>
      </c>
      <c r="I330" s="80" t="str">
        <f t="shared" si="297"/>
        <v>052025</v>
      </c>
      <c r="J330" s="79">
        <f t="shared" si="298"/>
        <v>1.1570174537844702E-2</v>
      </c>
      <c r="K330" s="79">
        <f t="shared" si="299"/>
        <v>2.8289663648411123E-2</v>
      </c>
      <c r="L330" s="81">
        <f t="shared" si="300"/>
        <v>102.03644466833794</v>
      </c>
      <c r="M330" s="82">
        <f t="shared" si="301"/>
        <v>108.85194848107058</v>
      </c>
    </row>
    <row r="331" spans="1:13" ht="15" thickBot="1" x14ac:dyDescent="0.35">
      <c r="A331" s="60">
        <v>45806</v>
      </c>
      <c r="B331" s="26">
        <v>138534</v>
      </c>
      <c r="C331" s="26">
        <v>123559.74</v>
      </c>
      <c r="D331" s="68">
        <v>1.82186</v>
      </c>
      <c r="E331" s="79">
        <f t="shared" si="293"/>
        <v>-3.292253327918937E-4</v>
      </c>
      <c r="F331" s="79">
        <f t="shared" si="294"/>
        <v>-2.548816312424429E-3</v>
      </c>
      <c r="G331" s="79">
        <f t="shared" si="295"/>
        <v>2.0028516858850987E-2</v>
      </c>
      <c r="H331" s="79">
        <f t="shared" si="296"/>
        <v>8.5745048591428841E-2</v>
      </c>
      <c r="I331" s="80" t="str">
        <f t="shared" si="297"/>
        <v>052025</v>
      </c>
      <c r="J331" s="79">
        <f t="shared" si="298"/>
        <v>1.1237140010490032E-2</v>
      </c>
      <c r="K331" s="79">
        <f t="shared" si="299"/>
        <v>2.5668742179806525E-2</v>
      </c>
      <c r="L331" s="81">
        <f t="shared" si="300"/>
        <v>102.0028516858851</v>
      </c>
      <c r="M331" s="82">
        <f t="shared" si="301"/>
        <v>108.57450485914285</v>
      </c>
    </row>
    <row r="332" spans="1:13" ht="15" thickBot="1" x14ac:dyDescent="0.35">
      <c r="A332" s="60">
        <v>45807</v>
      </c>
      <c r="B332" s="26">
        <v>137027</v>
      </c>
      <c r="C332" s="26">
        <v>122028.72</v>
      </c>
      <c r="D332" s="68">
        <v>1.799285</v>
      </c>
      <c r="E332" s="79">
        <f t="shared" si="293"/>
        <v>-1.2391182637524256E-2</v>
      </c>
      <c r="F332" s="79">
        <f t="shared" si="294"/>
        <v>-1.0878195966333215E-2</v>
      </c>
      <c r="G332" s="79">
        <f t="shared" si="295"/>
        <v>7.3891572109698878E-3</v>
      </c>
      <c r="H332" s="79">
        <f t="shared" si="296"/>
        <v>7.39341011833754E-2</v>
      </c>
      <c r="I332" s="80" t="str">
        <f t="shared" si="297"/>
        <v>052025</v>
      </c>
      <c r="J332" s="79">
        <f t="shared" si="298"/>
        <v>-1.2932840812276414E-3</v>
      </c>
      <c r="K332" s="79">
        <f t="shared" si="299"/>
        <v>1.4511316605832159E-2</v>
      </c>
      <c r="L332" s="81">
        <f t="shared" si="300"/>
        <v>100.738915721097</v>
      </c>
      <c r="M332" s="82">
        <f t="shared" si="301"/>
        <v>107.3934101183375</v>
      </c>
    </row>
    <row r="333" spans="1:13" ht="15" thickBot="1" x14ac:dyDescent="0.35">
      <c r="A333" s="60">
        <v>45810</v>
      </c>
      <c r="B333" s="26">
        <v>136787</v>
      </c>
      <c r="C333" s="26">
        <v>122136.74</v>
      </c>
      <c r="D333" s="68">
        <v>1.800878</v>
      </c>
      <c r="E333" s="79">
        <f t="shared" si="293"/>
        <v>8.853516813622786E-4</v>
      </c>
      <c r="F333" s="79">
        <f t="shared" si="294"/>
        <v>-1.7514796354003437E-3</v>
      </c>
      <c r="G333" s="79">
        <f t="shared" si="295"/>
        <v>8.2810508950927897E-3</v>
      </c>
      <c r="H333" s="79">
        <f t="shared" si="296"/>
        <v>7.2053127475390832E-2</v>
      </c>
      <c r="I333" s="80" t="str">
        <f t="shared" si="297"/>
        <v>062025</v>
      </c>
      <c r="J333" s="79">
        <f t="shared" si="298"/>
        <v>8.853516813622786E-4</v>
      </c>
      <c r="K333" s="79">
        <f t="shared" si="299"/>
        <v>-1.7514796354003437E-3</v>
      </c>
      <c r="L333" s="81">
        <f t="shared" si="300"/>
        <v>100.82810508950929</v>
      </c>
      <c r="M333" s="82">
        <f t="shared" si="301"/>
        <v>107.20531274753904</v>
      </c>
    </row>
    <row r="334" spans="1:13" ht="15" thickBot="1" x14ac:dyDescent="0.35">
      <c r="A334" s="60">
        <v>45811</v>
      </c>
      <c r="B334" s="26">
        <v>137546</v>
      </c>
      <c r="C334" s="26">
        <v>123288.98</v>
      </c>
      <c r="D334" s="68">
        <v>1.817868</v>
      </c>
      <c r="E334" s="79">
        <f t="shared" si="293"/>
        <v>9.4342870533150602E-3</v>
      </c>
      <c r="F334" s="79">
        <f t="shared" si="294"/>
        <v>5.5487729097063454E-3</v>
      </c>
      <c r="G334" s="79">
        <f t="shared" si="295"/>
        <v>1.7793463759655292E-2</v>
      </c>
      <c r="H334" s="79">
        <f t="shared" si="296"/>
        <v>7.8001706826892114E-2</v>
      </c>
      <c r="I334" s="80" t="str">
        <f t="shared" si="297"/>
        <v>062025</v>
      </c>
      <c r="J334" s="79">
        <f t="shared" si="298"/>
        <v>1.0327991396582359E-2</v>
      </c>
      <c r="K334" s="79">
        <f t="shared" si="299"/>
        <v>3.787574711553221E-3</v>
      </c>
      <c r="L334" s="81">
        <f t="shared" si="300"/>
        <v>101.77934637596555</v>
      </c>
      <c r="M334" s="82">
        <f t="shared" si="301"/>
        <v>107.80017068268918</v>
      </c>
    </row>
    <row r="335" spans="1:13" ht="15" thickBot="1" x14ac:dyDescent="0.35">
      <c r="A335" s="60">
        <v>45812</v>
      </c>
      <c r="B335" s="26">
        <v>137002</v>
      </c>
      <c r="C335" s="26">
        <v>122827.69</v>
      </c>
      <c r="D335" s="68">
        <v>1.8110660000000001</v>
      </c>
      <c r="E335" s="79">
        <f t="shared" si="293"/>
        <v>-3.74174582532949E-3</v>
      </c>
      <c r="F335" s="79">
        <f t="shared" si="294"/>
        <v>-3.9550404955432938E-3</v>
      </c>
      <c r="G335" s="79">
        <f t="shared" si="295"/>
        <v>1.3985139315585204E-2</v>
      </c>
      <c r="H335" s="79">
        <f t="shared" si="296"/>
        <v>7.3738166422127049E-2</v>
      </c>
      <c r="I335" s="80" t="str">
        <f t="shared" si="297"/>
        <v>062025</v>
      </c>
      <c r="J335" s="79">
        <f t="shared" si="298"/>
        <v>6.5476008525606755E-3</v>
      </c>
      <c r="K335" s="79">
        <f t="shared" si="299"/>
        <v>-1.8244579535420247E-4</v>
      </c>
      <c r="L335" s="81">
        <f t="shared" si="300"/>
        <v>101.39851393155851</v>
      </c>
      <c r="M335" s="82">
        <f t="shared" si="301"/>
        <v>107.37381664221267</v>
      </c>
    </row>
    <row r="336" spans="1:13" ht="15" thickBot="1" x14ac:dyDescent="0.35">
      <c r="A336" s="60">
        <v>45813</v>
      </c>
      <c r="B336" s="26">
        <v>136236</v>
      </c>
      <c r="C336" s="26">
        <v>122301.02</v>
      </c>
      <c r="D336" s="68">
        <v>1.8032999999999999</v>
      </c>
      <c r="E336" s="79">
        <f t="shared" si="293"/>
        <v>-4.2880822675707142E-3</v>
      </c>
      <c r="F336" s="79">
        <f t="shared" si="294"/>
        <v>-5.5911592531495691E-3</v>
      </c>
      <c r="G336" s="79">
        <f t="shared" si="295"/>
        <v>9.6370876201057332E-3</v>
      </c>
      <c r="H336" s="79">
        <f t="shared" si="296"/>
        <v>6.7734725337476043E-2</v>
      </c>
      <c r="I336" s="80" t="str">
        <f t="shared" si="297"/>
        <v>062025</v>
      </c>
      <c r="J336" s="79">
        <f t="shared" si="298"/>
        <v>2.2314419338789193E-3</v>
      </c>
      <c r="K336" s="79">
        <f t="shared" si="299"/>
        <v>-5.7725849650068772E-3</v>
      </c>
      <c r="L336" s="81">
        <f t="shared" si="300"/>
        <v>100.96370876201057</v>
      </c>
      <c r="M336" s="82">
        <f t="shared" si="301"/>
        <v>106.77347253374758</v>
      </c>
    </row>
    <row r="337" spans="1:13" ht="15" thickBot="1" x14ac:dyDescent="0.35">
      <c r="A337" s="60">
        <v>45814</v>
      </c>
      <c r="B337" s="26">
        <v>136102</v>
      </c>
      <c r="C337" s="26">
        <v>122562.66</v>
      </c>
      <c r="D337" s="68">
        <v>1.807158</v>
      </c>
      <c r="E337" s="79">
        <f t="shared" si="293"/>
        <v>2.1394110796872923E-3</v>
      </c>
      <c r="F337" s="79">
        <f t="shared" si="294"/>
        <v>-9.8358730438352637E-4</v>
      </c>
      <c r="G337" s="79">
        <f t="shared" si="295"/>
        <v>1.1797116391823348E-2</v>
      </c>
      <c r="H337" s="79">
        <f t="shared" si="296"/>
        <v>6.6684515017184642E-2</v>
      </c>
      <c r="I337" s="80" t="str">
        <f t="shared" si="297"/>
        <v>062025</v>
      </c>
      <c r="J337" s="79">
        <f t="shared" si="298"/>
        <v>4.3756269851631391E-3</v>
      </c>
      <c r="K337" s="79">
        <f t="shared" si="299"/>
        <v>-6.7504944281053803E-3</v>
      </c>
      <c r="L337" s="81">
        <f t="shared" si="300"/>
        <v>101.17971163918233</v>
      </c>
      <c r="M337" s="82">
        <f t="shared" si="301"/>
        <v>106.66845150171844</v>
      </c>
    </row>
    <row r="338" spans="1:13" ht="15" thickBot="1" x14ac:dyDescent="0.35">
      <c r="A338" s="60">
        <v>45817</v>
      </c>
      <c r="B338" s="26">
        <v>135699</v>
      </c>
      <c r="C338" s="26">
        <v>122264.18</v>
      </c>
      <c r="D338" s="68">
        <v>1.8027569999999999</v>
      </c>
      <c r="E338" s="79">
        <f t="shared" si="293"/>
        <v>-2.4353155617826694E-3</v>
      </c>
      <c r="F338" s="79">
        <f t="shared" si="294"/>
        <v>-2.9610145332177318E-3</v>
      </c>
      <c r="G338" s="79">
        <f t="shared" si="295"/>
        <v>9.3330711289074664E-3</v>
      </c>
      <c r="H338" s="79">
        <f t="shared" si="296"/>
        <v>6.3526046665860481E-2</v>
      </c>
      <c r="I338" s="80" t="str">
        <f t="shared" si="297"/>
        <v>062025</v>
      </c>
      <c r="J338" s="79">
        <f t="shared" si="298"/>
        <v>1.9296553908909608E-3</v>
      </c>
      <c r="K338" s="79">
        <f t="shared" si="299"/>
        <v>-9.6915206492150796E-3</v>
      </c>
      <c r="L338" s="81">
        <f t="shared" si="300"/>
        <v>100.93330711289074</v>
      </c>
      <c r="M338" s="82">
        <f t="shared" si="301"/>
        <v>106.35260466658602</v>
      </c>
    </row>
    <row r="339" spans="1:13" ht="15" thickBot="1" x14ac:dyDescent="0.35">
      <c r="A339" s="60">
        <v>45818</v>
      </c>
      <c r="B339" s="26">
        <v>136436</v>
      </c>
      <c r="C339" s="26">
        <v>122590.51</v>
      </c>
      <c r="D339" s="68">
        <v>1.807569</v>
      </c>
      <c r="E339" s="79">
        <f t="shared" si="293"/>
        <v>2.6692449398337814E-3</v>
      </c>
      <c r="F339" s="79">
        <f t="shared" si="294"/>
        <v>5.4311380334417514E-3</v>
      </c>
      <c r="G339" s="79">
        <f t="shared" si="295"/>
        <v>1.2027228321625394E-2</v>
      </c>
      <c r="H339" s="79">
        <f t="shared" si="296"/>
        <v>6.9302203427463294E-2</v>
      </c>
      <c r="I339" s="80" t="str">
        <f t="shared" si="297"/>
        <v>062025</v>
      </c>
      <c r="J339" s="79">
        <f t="shared" si="298"/>
        <v>4.6040510536125012E-3</v>
      </c>
      <c r="K339" s="79">
        <f t="shared" si="299"/>
        <v>-4.3130186021731465E-3</v>
      </c>
      <c r="L339" s="81">
        <f t="shared" si="300"/>
        <v>101.20272283216252</v>
      </c>
      <c r="M339" s="82">
        <f t="shared" si="301"/>
        <v>106.93022034274631</v>
      </c>
    </row>
    <row r="340" spans="1:13" ht="15" thickBot="1" x14ac:dyDescent="0.35">
      <c r="A340" s="60">
        <v>45819</v>
      </c>
      <c r="B340" s="26">
        <v>137128</v>
      </c>
      <c r="C340" s="26">
        <v>122348.79</v>
      </c>
      <c r="D340" s="68">
        <v>1.8040050000000001</v>
      </c>
      <c r="E340" s="79">
        <f t="shared" si="293"/>
        <v>-1.9717089638071617E-3</v>
      </c>
      <c r="F340" s="79">
        <f t="shared" si="294"/>
        <v>5.0719751385264189E-3</v>
      </c>
      <c r="G340" s="79">
        <f t="shared" si="295"/>
        <v>1.0031805163926766E-2</v>
      </c>
      <c r="H340" s="79">
        <f t="shared" si="296"/>
        <v>7.4725677618818986E-2</v>
      </c>
      <c r="I340" s="80" t="str">
        <f t="shared" si="297"/>
        <v>062025</v>
      </c>
      <c r="J340" s="79">
        <f t="shared" si="298"/>
        <v>2.6232642410730644E-3</v>
      </c>
      <c r="K340" s="79">
        <f t="shared" si="299"/>
        <v>7.3708101323100017E-4</v>
      </c>
      <c r="L340" s="81">
        <f t="shared" si="300"/>
        <v>101.00318051639266</v>
      </c>
      <c r="M340" s="82">
        <f t="shared" si="301"/>
        <v>107.47256776188188</v>
      </c>
    </row>
    <row r="341" spans="1:13" ht="15" thickBot="1" x14ac:dyDescent="0.35">
      <c r="A341" s="60">
        <v>45820</v>
      </c>
      <c r="B341" s="26">
        <v>137800</v>
      </c>
      <c r="C341" s="26">
        <v>122796.51</v>
      </c>
      <c r="D341" s="68">
        <v>1.8106059999999999</v>
      </c>
      <c r="E341" s="79">
        <f t="shared" si="293"/>
        <v>3.6590807675145332E-3</v>
      </c>
      <c r="F341" s="79">
        <f t="shared" si="294"/>
        <v>4.9005308908465217E-3</v>
      </c>
      <c r="G341" s="79">
        <f t="shared" si="295"/>
        <v>1.3727593116779957E-2</v>
      </c>
      <c r="H341" s="79">
        <f t="shared" si="296"/>
        <v>7.999240400117591E-2</v>
      </c>
      <c r="I341" s="80" t="str">
        <f t="shared" si="297"/>
        <v>062025</v>
      </c>
      <c r="J341" s="79">
        <f t="shared" si="298"/>
        <v>6.2919437443202941E-3</v>
      </c>
      <c r="K341" s="79">
        <f t="shared" si="299"/>
        <v>5.6412239923520069E-3</v>
      </c>
      <c r="L341" s="81">
        <f t="shared" si="300"/>
        <v>101.372759311678</v>
      </c>
      <c r="M341" s="82">
        <f t="shared" si="301"/>
        <v>107.99924040011757</v>
      </c>
    </row>
    <row r="342" spans="1:13" ht="15" thickBot="1" x14ac:dyDescent="0.35">
      <c r="A342" s="60">
        <v>45821</v>
      </c>
      <c r="B342" s="26">
        <v>137213</v>
      </c>
      <c r="C342" s="26">
        <v>122685.27</v>
      </c>
      <c r="D342" s="68">
        <v>1.8089660000000001</v>
      </c>
      <c r="E342" s="79">
        <f t="shared" si="293"/>
        <v>-9.0577408889613853E-4</v>
      </c>
      <c r="F342" s="79">
        <f t="shared" si="294"/>
        <v>-4.2597968069666425E-3</v>
      </c>
      <c r="G342" s="79">
        <f t="shared" si="295"/>
        <v>1.2809384929735712E-2</v>
      </c>
      <c r="H342" s="79">
        <f t="shared" si="296"/>
        <v>7.5391855807063424E-2</v>
      </c>
      <c r="I342" s="80" t="str">
        <f t="shared" si="297"/>
        <v>062025</v>
      </c>
      <c r="J342" s="79">
        <f t="shared" si="298"/>
        <v>5.3804705758118132E-3</v>
      </c>
      <c r="K342" s="79">
        <f t="shared" si="299"/>
        <v>1.3573967174353996E-3</v>
      </c>
      <c r="L342" s="81">
        <f t="shared" si="300"/>
        <v>101.28093849297358</v>
      </c>
      <c r="M342" s="82">
        <f t="shared" si="301"/>
        <v>107.53918558070633</v>
      </c>
    </row>
    <row r="343" spans="1:13" ht="15" thickBot="1" x14ac:dyDescent="0.35">
      <c r="A343" s="60">
        <v>45824</v>
      </c>
      <c r="B343" s="26">
        <v>139256</v>
      </c>
      <c r="C343" s="26">
        <v>123566.37</v>
      </c>
      <c r="D343" s="68">
        <v>1.821958</v>
      </c>
      <c r="E343" s="79">
        <f t="shared" si="293"/>
        <v>7.182003420738603E-3</v>
      </c>
      <c r="F343" s="79">
        <f t="shared" si="294"/>
        <v>1.4889259764016449E-2</v>
      </c>
      <c r="G343" s="79">
        <f t="shared" si="295"/>
        <v>2.0083385396857167E-2</v>
      </c>
      <c r="H343" s="79">
        <f t="shared" si="296"/>
        <v>9.1403644496282688E-2</v>
      </c>
      <c r="I343" s="80" t="str">
        <f t="shared" si="297"/>
        <v>062025</v>
      </c>
      <c r="J343" s="79">
        <f t="shared" si="298"/>
        <v>1.2601116554631142E-2</v>
      </c>
      <c r="K343" s="79">
        <f t="shared" si="299"/>
        <v>1.626686711378067E-2</v>
      </c>
      <c r="L343" s="81">
        <f t="shared" si="300"/>
        <v>102.00833853968572</v>
      </c>
      <c r="M343" s="82">
        <f t="shared" si="301"/>
        <v>109.14036444962824</v>
      </c>
    </row>
    <row r="344" spans="1:13" ht="15" thickBot="1" x14ac:dyDescent="0.35">
      <c r="A344" s="60">
        <v>45825</v>
      </c>
      <c r="B344" s="26">
        <v>138840</v>
      </c>
      <c r="C344" s="26">
        <v>122897.65</v>
      </c>
      <c r="D344" s="68">
        <v>1.8120970000000001</v>
      </c>
      <c r="E344" s="79">
        <f t="shared" si="293"/>
        <v>-5.4123091750741814E-3</v>
      </c>
      <c r="F344" s="79">
        <f t="shared" si="294"/>
        <v>-2.9873039581777006E-3</v>
      </c>
      <c r="G344" s="79">
        <f t="shared" si="295"/>
        <v>1.4562378730733183E-2</v>
      </c>
      <c r="H344" s="79">
        <f t="shared" si="296"/>
        <v>8.8143290069109259E-2</v>
      </c>
      <c r="I344" s="80" t="str">
        <f t="shared" si="297"/>
        <v>062025</v>
      </c>
      <c r="J344" s="79">
        <f t="shared" si="298"/>
        <v>7.1206062408122328E-3</v>
      </c>
      <c r="K344" s="79">
        <f t="shared" si="299"/>
        <v>1.323096907908683E-2</v>
      </c>
      <c r="L344" s="81">
        <f t="shared" si="300"/>
        <v>101.45623787307331</v>
      </c>
      <c r="M344" s="82">
        <f t="shared" si="301"/>
        <v>108.81432900691091</v>
      </c>
    </row>
    <row r="345" spans="1:13" ht="15" thickBot="1" x14ac:dyDescent="0.35">
      <c r="A345" s="60">
        <v>45826</v>
      </c>
      <c r="B345" s="26">
        <v>138717</v>
      </c>
      <c r="C345" s="26">
        <v>122557.18</v>
      </c>
      <c r="D345" s="68">
        <v>1.807077</v>
      </c>
      <c r="E345" s="79">
        <f t="shared" si="293"/>
        <v>-2.7702711278700942E-3</v>
      </c>
      <c r="F345" s="79">
        <f t="shared" si="294"/>
        <v>-8.8591184096797893E-4</v>
      </c>
      <c r="G345" s="79">
        <f t="shared" si="295"/>
        <v>1.1751765865512187E-2</v>
      </c>
      <c r="H345" s="79">
        <f t="shared" si="296"/>
        <v>8.7179291043767204E-2</v>
      </c>
      <c r="I345" s="80" t="str">
        <f t="shared" si="297"/>
        <v>062025</v>
      </c>
      <c r="J345" s="79">
        <f t="shared" si="298"/>
        <v>4.3306091030603788E-3</v>
      </c>
      <c r="K345" s="79">
        <f t="shared" si="299"/>
        <v>1.2333335765944309E-2</v>
      </c>
      <c r="L345" s="81">
        <f t="shared" si="300"/>
        <v>101.17517658655122</v>
      </c>
      <c r="M345" s="82">
        <f t="shared" si="301"/>
        <v>108.71792910437671</v>
      </c>
    </row>
    <row r="346" spans="1:13" ht="15" thickBot="1" x14ac:dyDescent="0.35">
      <c r="A346" s="60">
        <v>45828</v>
      </c>
      <c r="B346" s="26">
        <v>137116</v>
      </c>
      <c r="C346" s="26">
        <v>121207.27</v>
      </c>
      <c r="D346" s="68">
        <v>1.7871729999999999</v>
      </c>
      <c r="E346" s="79">
        <f t="shared" si="293"/>
        <v>-1.1014472543228737E-2</v>
      </c>
      <c r="F346" s="79">
        <f t="shared" si="294"/>
        <v>-1.154148374027697E-2</v>
      </c>
      <c r="G346" s="79">
        <f t="shared" si="295"/>
        <v>6.0785381982331188E-4</v>
      </c>
      <c r="H346" s="79">
        <f t="shared" si="296"/>
        <v>7.463162893341968E-2</v>
      </c>
      <c r="I346" s="80" t="str">
        <f t="shared" si="297"/>
        <v>062025</v>
      </c>
      <c r="J346" s="79">
        <f t="shared" si="298"/>
        <v>-6.7315628152294638E-3</v>
      </c>
      <c r="K346" s="79">
        <f t="shared" si="299"/>
        <v>6.4950703146138267E-4</v>
      </c>
      <c r="L346" s="81">
        <f t="shared" si="300"/>
        <v>100.06078538198233</v>
      </c>
      <c r="M346" s="82">
        <f t="shared" si="301"/>
        <v>107.46316289334196</v>
      </c>
    </row>
    <row r="347" spans="1:13" ht="15" thickBot="1" x14ac:dyDescent="0.35">
      <c r="A347" s="60">
        <v>45831</v>
      </c>
      <c r="B347" s="26">
        <v>136551</v>
      </c>
      <c r="C347" s="26">
        <v>121609.41</v>
      </c>
      <c r="D347" s="68">
        <v>1.7931029999999999</v>
      </c>
      <c r="E347" s="79">
        <f t="shared" si="293"/>
        <v>3.3180895190336734E-3</v>
      </c>
      <c r="F347" s="79">
        <f t="shared" si="294"/>
        <v>-4.120598617229243E-3</v>
      </c>
      <c r="G347" s="79">
        <f t="shared" si="295"/>
        <v>3.9279602522455104E-3</v>
      </c>
      <c r="H347" s="79">
        <f t="shared" si="296"/>
        <v>7.0203503329205885E-2</v>
      </c>
      <c r="I347" s="80" t="str">
        <f t="shared" si="297"/>
        <v>062025</v>
      </c>
      <c r="J347" s="79">
        <f t="shared" si="298"/>
        <v>-3.4358092242197102E-3</v>
      </c>
      <c r="K347" s="79">
        <f t="shared" si="299"/>
        <v>-3.4737679435435931E-3</v>
      </c>
      <c r="L347" s="81">
        <f t="shared" si="300"/>
        <v>100.39279602522456</v>
      </c>
      <c r="M347" s="82">
        <f t="shared" si="301"/>
        <v>107.02035033292057</v>
      </c>
    </row>
    <row r="348" spans="1:13" ht="15" thickBot="1" x14ac:dyDescent="0.35">
      <c r="A348" s="60">
        <v>45832</v>
      </c>
      <c r="B348" s="26">
        <v>137165</v>
      </c>
      <c r="C348" s="26">
        <v>122488.52</v>
      </c>
      <c r="D348" s="68">
        <v>1.806065</v>
      </c>
      <c r="E348" s="79">
        <f t="shared" si="293"/>
        <v>7.2288094995101027E-3</v>
      </c>
      <c r="F348" s="79">
        <f t="shared" si="294"/>
        <v>4.4964884914793224E-3</v>
      </c>
      <c r="G348" s="79">
        <f t="shared" si="295"/>
        <v>1.1185164228140865E-2</v>
      </c>
      <c r="H348" s="79">
        <f t="shared" si="296"/>
        <v>7.5015661065466643E-2</v>
      </c>
      <c r="I348" s="80" t="str">
        <f t="shared" si="297"/>
        <v>062025</v>
      </c>
      <c r="J348" s="79">
        <f t="shared" si="298"/>
        <v>3.7681634649318063E-3</v>
      </c>
      <c r="K348" s="79">
        <f t="shared" si="299"/>
        <v>1.0071007903555973E-3</v>
      </c>
      <c r="L348" s="81">
        <f t="shared" si="300"/>
        <v>101.11851642281408</v>
      </c>
      <c r="M348" s="82">
        <f t="shared" si="301"/>
        <v>107.50156610654663</v>
      </c>
    </row>
    <row r="349" spans="1:13" ht="15" thickBot="1" x14ac:dyDescent="0.35">
      <c r="A349" s="60">
        <v>45833</v>
      </c>
      <c r="B349" s="26">
        <v>135767</v>
      </c>
      <c r="C349" s="26">
        <v>121560.16</v>
      </c>
      <c r="D349" s="68">
        <v>1.792376</v>
      </c>
      <c r="E349" s="79">
        <f t="shared" si="293"/>
        <v>-7.5794614258070103E-3</v>
      </c>
      <c r="F349" s="79">
        <f t="shared" si="294"/>
        <v>-1.0192104399810442E-2</v>
      </c>
      <c r="G349" s="79">
        <f t="shared" si="295"/>
        <v>3.5209252815253667E-3</v>
      </c>
      <c r="H349" s="79">
        <f t="shared" si="296"/>
        <v>6.405898921645603E-2</v>
      </c>
      <c r="I349" s="80" t="str">
        <f t="shared" si="297"/>
        <v>062025</v>
      </c>
      <c r="J349" s="79">
        <f t="shared" si="298"/>
        <v>-3.8398586105038435E-3</v>
      </c>
      <c r="K349" s="79">
        <f t="shared" si="299"/>
        <v>-9.1952680858512492E-3</v>
      </c>
      <c r="L349" s="81">
        <f t="shared" si="300"/>
        <v>100.35209252815253</v>
      </c>
      <c r="M349" s="82">
        <f t="shared" si="301"/>
        <v>106.40589892164559</v>
      </c>
    </row>
    <row r="350" spans="1:13" ht="15" thickBot="1" x14ac:dyDescent="0.35">
      <c r="A350" s="60">
        <v>45834</v>
      </c>
      <c r="B350" s="26">
        <v>137114</v>
      </c>
      <c r="C350" s="26">
        <v>122533.65</v>
      </c>
      <c r="D350" s="68">
        <v>1.8067299999999999</v>
      </c>
      <c r="E350" s="79">
        <f t="shared" ref="E350:E352" si="302">D350/D349-1</f>
        <v>8.008364316415717E-3</v>
      </c>
      <c r="F350" s="79">
        <f t="shared" ref="F350:F352" si="303">B350/B349-1</f>
        <v>9.9214094735833314E-3</v>
      </c>
      <c r="G350" s="79">
        <f t="shared" ref="G350:G352" si="304">D350/$D$2-1</f>
        <v>1.1557486450326504E-2</v>
      </c>
      <c r="H350" s="79">
        <f t="shared" ref="H350:H352" si="305">B350/$B$2-1</f>
        <v>7.4615954152519759E-2</v>
      </c>
      <c r="I350" s="80" t="str">
        <f t="shared" ref="I350:I352" si="306">TEXT(A350,"mmaaaa")</f>
        <v>062025</v>
      </c>
      <c r="J350" s="79">
        <f t="shared" ref="J350:J352" si="307">IF(I350=I349,(1+E350)*(1+J349)-1,E350)</f>
        <v>4.137754719235387E-3</v>
      </c>
      <c r="K350" s="79">
        <f t="shared" ref="K350:K352" si="308">IF(I350=I349,(1+F350)*(1+K349)-1,F350)</f>
        <v>6.3491136783300206E-4</v>
      </c>
      <c r="L350" s="81">
        <f t="shared" ref="L350:L352" si="309">L349*(1+E350)</f>
        <v>101.15574864503263</v>
      </c>
      <c r="M350" s="82">
        <f t="shared" ref="M350:M352" si="310">M349*(1+F350)</f>
        <v>107.46159541525195</v>
      </c>
    </row>
    <row r="351" spans="1:13" ht="15" thickBot="1" x14ac:dyDescent="0.35">
      <c r="A351" s="60">
        <v>45835</v>
      </c>
      <c r="B351" s="26">
        <v>136866</v>
      </c>
      <c r="C351" s="26">
        <v>123150.92</v>
      </c>
      <c r="D351" s="68">
        <v>1.8158319999999999</v>
      </c>
      <c r="E351" s="79">
        <f t="shared" si="302"/>
        <v>5.0378307771499209E-3</v>
      </c>
      <c r="F351" s="79">
        <f t="shared" si="303"/>
        <v>-1.8087139168866395E-3</v>
      </c>
      <c r="G351" s="79">
        <f t="shared" si="304"/>
        <v>1.6653541888422163E-2</v>
      </c>
      <c r="H351" s="79">
        <f t="shared" si="305"/>
        <v>7.2672281320935728E-2</v>
      </c>
      <c r="I351" s="80" t="str">
        <f t="shared" si="306"/>
        <v>062025</v>
      </c>
      <c r="J351" s="79">
        <f t="shared" si="307"/>
        <v>9.1964308044580889E-3</v>
      </c>
      <c r="K351" s="79">
        <f t="shared" si="308"/>
        <v>-1.174950922080642E-3</v>
      </c>
      <c r="L351" s="81">
        <f t="shared" si="309"/>
        <v>101.66535418884222</v>
      </c>
      <c r="M351" s="82">
        <f t="shared" si="310"/>
        <v>107.26722813209354</v>
      </c>
    </row>
    <row r="352" spans="1:13" ht="15" thickBot="1" x14ac:dyDescent="0.35">
      <c r="A352" s="60">
        <v>45838</v>
      </c>
      <c r="B352" s="26">
        <v>138855</v>
      </c>
      <c r="C352" s="26">
        <v>124137.64</v>
      </c>
      <c r="D352" s="68">
        <v>1.830381</v>
      </c>
      <c r="E352" s="79">
        <f t="shared" si="302"/>
        <v>8.0123051031153469E-3</v>
      </c>
      <c r="F352" s="79">
        <f t="shared" si="303"/>
        <v>1.4532462408487046E-2</v>
      </c>
      <c r="G352" s="79">
        <f t="shared" si="304"/>
        <v>2.4799280250195066E-2</v>
      </c>
      <c r="H352" s="79">
        <f t="shared" si="305"/>
        <v>8.8260850925858225E-2</v>
      </c>
      <c r="I352" s="80" t="str">
        <f t="shared" si="306"/>
        <v>062025</v>
      </c>
      <c r="J352" s="79">
        <f t="shared" si="307"/>
        <v>1.7282420517038544E-2</v>
      </c>
      <c r="K352" s="79">
        <f t="shared" si="308"/>
        <v>1.3340436556299462E-2</v>
      </c>
      <c r="L352" s="81">
        <f t="shared" si="309"/>
        <v>102.4799280250195</v>
      </c>
      <c r="M352" s="82">
        <f t="shared" si="310"/>
        <v>108.82608509258579</v>
      </c>
    </row>
    <row r="353" spans="1:13" ht="15" thickBot="1" x14ac:dyDescent="0.35">
      <c r="A353" s="60">
        <v>45839</v>
      </c>
      <c r="B353" s="68" vm="213">
        <v>139549.43</v>
      </c>
      <c r="C353" s="68">
        <v>124354.54</v>
      </c>
      <c r="D353" s="68">
        <v>1.8335790000000001</v>
      </c>
      <c r="E353" s="79">
        <f t="shared" ref="E353:E416" si="311">D353/D352-1</f>
        <v>1.7471772270363228E-3</v>
      </c>
      <c r="F353" s="79">
        <f t="shared" ref="F353:F416" si="312">B353/B352-1</f>
        <v>5.0011162723704317E-3</v>
      </c>
      <c r="G353" s="79">
        <f t="shared" ref="G353:G416" si="313">D353/$D$2-1</f>
        <v>2.6589786214931577E-2</v>
      </c>
      <c r="H353" s="79">
        <f t="shared" ref="H353:H416" si="314">B353/$B$2-1</f>
        <v>9.3703369976007256E-2</v>
      </c>
      <c r="I353" s="80" t="str">
        <f t="shared" ref="I353:I416" si="315">TEXT(A353,"mmaaaa")</f>
        <v>072025</v>
      </c>
      <c r="J353" s="79">
        <f t="shared" ref="J353:J416" si="316">IF(I353=I352,(1+E353)*(1+J352)-1,E353)</f>
        <v>1.7471772270363228E-3</v>
      </c>
      <c r="K353" s="79">
        <f t="shared" ref="K353:K416" si="317">IF(I353=I352,(1+F353)*(1+K352)-1,F353)</f>
        <v>5.0011162723704317E-3</v>
      </c>
      <c r="L353" s="81">
        <f t="shared" ref="L353:L416" si="318">L352*(1+E353)</f>
        <v>102.65897862149313</v>
      </c>
      <c r="M353" s="82">
        <f t="shared" ref="M353:M416" si="319">M352*(1+F353)</f>
        <v>109.37033699760069</v>
      </c>
    </row>
    <row r="354" spans="1:13" ht="15" thickBot="1" x14ac:dyDescent="0.35">
      <c r="A354" s="60">
        <v>45840</v>
      </c>
      <c r="B354" s="68" vm="214">
        <v>139050.93</v>
      </c>
      <c r="C354" s="68">
        <v>124162.1</v>
      </c>
      <c r="D354" s="68">
        <v>1.830741</v>
      </c>
      <c r="E354" s="79">
        <f t="shared" si="311"/>
        <v>-1.5477925957921856E-3</v>
      </c>
      <c r="F354" s="79">
        <f t="shared" si="312"/>
        <v>-3.5722109362968935E-3</v>
      </c>
      <c r="G354" s="79">
        <f t="shared" si="313"/>
        <v>2.5000838144912052E-2</v>
      </c>
      <c r="H354" s="79">
        <f t="shared" si="314"/>
        <v>8.9796430836714292E-2</v>
      </c>
      <c r="I354" s="80" t="str">
        <f t="shared" si="315"/>
        <v>072025</v>
      </c>
      <c r="J354" s="79">
        <f t="shared" si="316"/>
        <v>1.9668036326869753E-4</v>
      </c>
      <c r="K354" s="79">
        <f t="shared" si="317"/>
        <v>1.4110402938316557E-3</v>
      </c>
      <c r="L354" s="81">
        <f t="shared" si="318"/>
        <v>102.50008381449121</v>
      </c>
      <c r="M354" s="82">
        <f t="shared" si="319"/>
        <v>108.97964308367138</v>
      </c>
    </row>
    <row r="355" spans="1:13" ht="15" thickBot="1" x14ac:dyDescent="0.35">
      <c r="A355" s="60">
        <v>45841</v>
      </c>
      <c r="B355" s="68" vm="215">
        <v>140927.85999999999</v>
      </c>
      <c r="C355" s="68">
        <v>125347.09</v>
      </c>
      <c r="D355" s="68">
        <v>1.848214</v>
      </c>
      <c r="E355" s="79">
        <f t="shared" si="311"/>
        <v>9.5442228037718735E-3</v>
      </c>
      <c r="F355" s="79">
        <f t="shared" si="312"/>
        <v>1.3498147764995139E-2</v>
      </c>
      <c r="G355" s="79">
        <f t="shared" si="313"/>
        <v>3.4783674518220176E-2</v>
      </c>
      <c r="H355" s="79">
        <f t="shared" si="314"/>
        <v>0.10450666409391252</v>
      </c>
      <c r="I355" s="80" t="str">
        <f t="shared" si="315"/>
        <v>072025</v>
      </c>
      <c r="J355" s="79">
        <f t="shared" si="316"/>
        <v>9.7427803282488235E-3</v>
      </c>
      <c r="K355" s="79">
        <f t="shared" si="317"/>
        <v>1.4928234489215209E-2</v>
      </c>
      <c r="L355" s="81">
        <f t="shared" si="318"/>
        <v>103.478367451822</v>
      </c>
      <c r="M355" s="82">
        <f t="shared" si="319"/>
        <v>110.4506664093912</v>
      </c>
    </row>
    <row r="356" spans="1:13" ht="15" thickBot="1" x14ac:dyDescent="0.35">
      <c r="A356" s="60">
        <v>45842</v>
      </c>
      <c r="B356" s="68" vm="216">
        <v>141263.56</v>
      </c>
      <c r="C356" s="68">
        <v>124922.84</v>
      </c>
      <c r="D356" s="68">
        <v>1.841958</v>
      </c>
      <c r="E356" s="79">
        <f t="shared" si="311"/>
        <v>-3.3848894121568662E-3</v>
      </c>
      <c r="F356" s="79">
        <f t="shared" si="312"/>
        <v>2.3820698050762701E-3</v>
      </c>
      <c r="G356" s="79">
        <f t="shared" si="313"/>
        <v>3.1281046214470587E-2</v>
      </c>
      <c r="H356" s="79">
        <f t="shared" si="314"/>
        <v>0.1071376760679561</v>
      </c>
      <c r="I356" s="80" t="str">
        <f t="shared" si="315"/>
        <v>072025</v>
      </c>
      <c r="J356" s="79">
        <f t="shared" si="316"/>
        <v>6.3249126821138812E-3</v>
      </c>
      <c r="K356" s="79">
        <f t="shared" si="317"/>
        <v>1.7345864390911236E-2</v>
      </c>
      <c r="L356" s="81">
        <f t="shared" si="318"/>
        <v>103.12810462144705</v>
      </c>
      <c r="M356" s="82">
        <f t="shared" si="319"/>
        <v>110.71376760679557</v>
      </c>
    </row>
    <row r="357" spans="1:13" ht="15" thickBot="1" x14ac:dyDescent="0.35">
      <c r="A357" s="60">
        <v>45845</v>
      </c>
      <c r="B357" s="68" vm="217">
        <v>139489.70000000001</v>
      </c>
      <c r="C357" s="68">
        <v>122861.64</v>
      </c>
      <c r="D357" s="68">
        <v>1.811566</v>
      </c>
      <c r="E357" s="79">
        <f t="shared" si="311"/>
        <v>-1.6499833329532976E-2</v>
      </c>
      <c r="F357" s="79">
        <f t="shared" si="312"/>
        <v>-1.2557095403796903E-2</v>
      </c>
      <c r="G357" s="79">
        <f t="shared" si="313"/>
        <v>1.4265080836025401E-2</v>
      </c>
      <c r="H357" s="79">
        <f t="shared" si="314"/>
        <v>9.3235242644432725E-2</v>
      </c>
      <c r="I357" s="80" t="str">
        <f t="shared" si="315"/>
        <v>072025</v>
      </c>
      <c r="J357" s="79">
        <f t="shared" si="316"/>
        <v>-1.0279280652497835E-2</v>
      </c>
      <c r="K357" s="79">
        <f t="shared" si="317"/>
        <v>4.5709553130963698E-3</v>
      </c>
      <c r="L357" s="81">
        <f t="shared" si="318"/>
        <v>101.42650808360254</v>
      </c>
      <c r="M357" s="82">
        <f t="shared" si="319"/>
        <v>109.32352426444324</v>
      </c>
    </row>
    <row r="358" spans="1:13" ht="15" thickBot="1" x14ac:dyDescent="0.35">
      <c r="A358" s="60">
        <v>45846</v>
      </c>
      <c r="B358" s="68" vm="218">
        <v>139302.85</v>
      </c>
      <c r="C358" s="68">
        <v>122866.16</v>
      </c>
      <c r="D358" s="68">
        <v>1.811633</v>
      </c>
      <c r="E358" s="79">
        <f t="shared" si="311"/>
        <v>3.6984575775944606E-5</v>
      </c>
      <c r="F358" s="79">
        <f t="shared" si="312"/>
        <v>-1.3395254273255164E-3</v>
      </c>
      <c r="G358" s="79">
        <f t="shared" si="313"/>
        <v>1.4302592999764441E-2</v>
      </c>
      <c r="H358" s="79">
        <f t="shared" si="314"/>
        <v>9.1770826238862124E-2</v>
      </c>
      <c r="I358" s="80" t="str">
        <f t="shared" si="315"/>
        <v>072025</v>
      </c>
      <c r="J358" s="79">
        <f t="shared" si="316"/>
        <v>-1.024267625155606E-2</v>
      </c>
      <c r="K358" s="79">
        <f t="shared" si="317"/>
        <v>3.2253069749017538E-3</v>
      </c>
      <c r="L358" s="81">
        <f t="shared" si="318"/>
        <v>101.43025929997646</v>
      </c>
      <c r="M358" s="82">
        <f t="shared" si="319"/>
        <v>109.17708262388618</v>
      </c>
    </row>
    <row r="359" spans="1:13" ht="15" thickBot="1" x14ac:dyDescent="0.35">
      <c r="A359" s="60">
        <v>45847</v>
      </c>
      <c r="B359" s="68" vm="219">
        <v>137480.79</v>
      </c>
      <c r="C359" s="68">
        <v>121992.17</v>
      </c>
      <c r="D359" s="68">
        <v>1.798746</v>
      </c>
      <c r="E359" s="79">
        <f t="shared" si="311"/>
        <v>-7.1134716578910018E-3</v>
      </c>
      <c r="F359" s="79">
        <f t="shared" si="312"/>
        <v>-1.3079847253663512E-2</v>
      </c>
      <c r="G359" s="79">
        <f t="shared" si="313"/>
        <v>7.0873802519353379E-3</v>
      </c>
      <c r="H359" s="79">
        <f t="shared" si="314"/>
        <v>7.7490630595651977E-2</v>
      </c>
      <c r="I359" s="80" t="str">
        <f t="shared" si="315"/>
        <v>072025</v>
      </c>
      <c r="J359" s="79">
        <f t="shared" si="316"/>
        <v>-1.728328692223069E-2</v>
      </c>
      <c r="K359" s="79">
        <f t="shared" si="317"/>
        <v>-9.8967268013396836E-3</v>
      </c>
      <c r="L359" s="81">
        <f t="shared" si="318"/>
        <v>100.70873802519354</v>
      </c>
      <c r="M359" s="82">
        <f t="shared" si="319"/>
        <v>107.74906305956515</v>
      </c>
    </row>
    <row r="360" spans="1:13" ht="15" thickBot="1" x14ac:dyDescent="0.35">
      <c r="A360" s="60">
        <v>45848</v>
      </c>
      <c r="B360" s="68" vm="220">
        <v>136743.26</v>
      </c>
      <c r="C360" s="68">
        <v>121683.51</v>
      </c>
      <c r="D360" s="68">
        <v>1.794195</v>
      </c>
      <c r="E360" s="79">
        <f t="shared" si="311"/>
        <v>-2.5300959668569378E-3</v>
      </c>
      <c r="F360" s="79">
        <f t="shared" si="312"/>
        <v>-5.3646040294065278E-3</v>
      </c>
      <c r="G360" s="79">
        <f t="shared" si="313"/>
        <v>4.5393525328873974E-3</v>
      </c>
      <c r="H360" s="79">
        <f t="shared" si="314"/>
        <v>7.1710320017110529E-2</v>
      </c>
      <c r="I360" s="80" t="str">
        <f t="shared" si="315"/>
        <v>072025</v>
      </c>
      <c r="J360" s="79">
        <f t="shared" si="316"/>
        <v>-1.9769654514551704E-2</v>
      </c>
      <c r="K360" s="79">
        <f t="shared" si="317"/>
        <v>-1.5208238810269781E-2</v>
      </c>
      <c r="L360" s="81">
        <f t="shared" si="318"/>
        <v>100.45393525328875</v>
      </c>
      <c r="M360" s="82">
        <f t="shared" si="319"/>
        <v>107.17103200171103</v>
      </c>
    </row>
    <row r="361" spans="1:13" ht="15" thickBot="1" x14ac:dyDescent="0.35">
      <c r="A361" s="60">
        <v>45849</v>
      </c>
      <c r="B361" s="68" vm="221">
        <v>136187.31</v>
      </c>
      <c r="C361" s="68">
        <v>121585.85</v>
      </c>
      <c r="D361" s="68">
        <v>1.7927550000000001</v>
      </c>
      <c r="E361" s="79">
        <f t="shared" si="311"/>
        <v>-8.0258834742041874E-4</v>
      </c>
      <c r="F361" s="79">
        <f t="shared" si="312"/>
        <v>-4.065648281312062E-3</v>
      </c>
      <c r="G361" s="79">
        <f t="shared" si="313"/>
        <v>3.7331209540192312E-3</v>
      </c>
      <c r="H361" s="79">
        <f t="shared" si="314"/>
        <v>6.7353122796468545E-2</v>
      </c>
      <c r="I361" s="80" t="str">
        <f t="shared" si="315"/>
        <v>072025</v>
      </c>
      <c r="J361" s="79">
        <f t="shared" si="316"/>
        <v>-2.0556375967626161E-2</v>
      </c>
      <c r="K361" s="79">
        <f t="shared" si="317"/>
        <v>-1.921205574160112E-2</v>
      </c>
      <c r="L361" s="81">
        <f t="shared" si="318"/>
        <v>100.37331209540193</v>
      </c>
      <c r="M361" s="82">
        <f t="shared" si="319"/>
        <v>106.73531227964683</v>
      </c>
    </row>
    <row r="362" spans="1:13" ht="15" thickBot="1" x14ac:dyDescent="0.35">
      <c r="A362" s="60">
        <v>45852</v>
      </c>
      <c r="B362" s="68" vm="222">
        <v>135298.99</v>
      </c>
      <c r="C362" s="68">
        <v>121345.72</v>
      </c>
      <c r="D362" s="68">
        <v>1.789215</v>
      </c>
      <c r="E362" s="79">
        <f t="shared" si="311"/>
        <v>-1.974614489988924E-3</v>
      </c>
      <c r="F362" s="79">
        <f t="shared" si="312"/>
        <v>-6.5227810138844822E-3</v>
      </c>
      <c r="G362" s="79">
        <f t="shared" si="313"/>
        <v>1.7511349893015726E-3</v>
      </c>
      <c r="H362" s="79">
        <f t="shared" si="314"/>
        <v>6.0391012111981501E-2</v>
      </c>
      <c r="I362" s="80" t="str">
        <f t="shared" si="315"/>
        <v>072025</v>
      </c>
      <c r="J362" s="79">
        <f t="shared" si="316"/>
        <v>-2.2490399539767725E-2</v>
      </c>
      <c r="K362" s="79">
        <f t="shared" si="317"/>
        <v>-2.5609520723056556E-2</v>
      </c>
      <c r="L362" s="81">
        <f t="shared" si="318"/>
        <v>100.17511349893017</v>
      </c>
      <c r="M362" s="82">
        <f t="shared" si="319"/>
        <v>106.03910121119812</v>
      </c>
    </row>
    <row r="363" spans="1:13" ht="15" thickBot="1" x14ac:dyDescent="0.35">
      <c r="A363" s="60">
        <v>45853</v>
      </c>
      <c r="B363" s="68" vm="223">
        <v>135250.1</v>
      </c>
      <c r="C363" s="68">
        <v>120564.16</v>
      </c>
      <c r="D363" s="68">
        <v>1.7776909999999999</v>
      </c>
      <c r="E363" s="79">
        <f t="shared" si="311"/>
        <v>-6.4408134293530983E-3</v>
      </c>
      <c r="F363" s="79">
        <f t="shared" si="312"/>
        <v>-3.6134785632901956E-4</v>
      </c>
      <c r="G363" s="79">
        <f t="shared" si="313"/>
        <v>-4.700957173807252E-3</v>
      </c>
      <c r="H363" s="79">
        <f t="shared" si="314"/>
        <v>6.0007842092884234E-2</v>
      </c>
      <c r="I363" s="80" t="str">
        <f t="shared" si="315"/>
        <v>072025</v>
      </c>
      <c r="J363" s="79">
        <f t="shared" si="316"/>
        <v>-2.8786356501733557E-2</v>
      </c>
      <c r="K363" s="79">
        <f t="shared" si="317"/>
        <v>-2.5961614633970731E-2</v>
      </c>
      <c r="L363" s="81">
        <f t="shared" si="318"/>
        <v>99.529904282619299</v>
      </c>
      <c r="M363" s="82">
        <f t="shared" si="319"/>
        <v>106.0007842092884</v>
      </c>
    </row>
    <row r="364" spans="1:13" ht="15" thickBot="1" x14ac:dyDescent="0.35">
      <c r="A364" s="60">
        <v>45854</v>
      </c>
      <c r="B364" s="68" vm="224">
        <v>135510.99</v>
      </c>
      <c r="C364" s="68">
        <v>120833</v>
      </c>
      <c r="D364" s="68">
        <v>1.781655</v>
      </c>
      <c r="E364" s="79">
        <f t="shared" si="311"/>
        <v>2.2298588449849444E-3</v>
      </c>
      <c r="F364" s="79">
        <f t="shared" si="312"/>
        <v>1.928944969356694E-3</v>
      </c>
      <c r="G364" s="79">
        <f t="shared" si="313"/>
        <v>-2.4815807997562445E-3</v>
      </c>
      <c r="H364" s="79">
        <f t="shared" si="314"/>
        <v>6.2052538887367836E-2</v>
      </c>
      <c r="I364" s="80" t="str">
        <f t="shared" si="315"/>
        <v>072025</v>
      </c>
      <c r="J364" s="79">
        <f t="shared" si="316"/>
        <v>-2.662068716840893E-2</v>
      </c>
      <c r="K364" s="79">
        <f t="shared" si="317"/>
        <v>-2.4082748190558667E-2</v>
      </c>
      <c r="L364" s="81">
        <f t="shared" si="318"/>
        <v>99.751841920024404</v>
      </c>
      <c r="M364" s="82">
        <f t="shared" si="319"/>
        <v>106.20525388873676</v>
      </c>
    </row>
    <row r="365" spans="1:13" ht="15" thickBot="1" x14ac:dyDescent="0.35">
      <c r="A365" s="60">
        <v>45855</v>
      </c>
      <c r="B365" s="68" vm="225">
        <v>135564.74</v>
      </c>
      <c r="C365" s="68">
        <v>121284.45</v>
      </c>
      <c r="D365" s="68">
        <v>1.788311</v>
      </c>
      <c r="E365" s="79">
        <f t="shared" si="311"/>
        <v>3.7358523395383259E-3</v>
      </c>
      <c r="F365" s="79">
        <f t="shared" si="312"/>
        <v>3.9664679595352581E-4</v>
      </c>
      <c r="G365" s="79">
        <f t="shared" si="313"/>
        <v>1.2450007203455016E-3</v>
      </c>
      <c r="H365" s="79">
        <f t="shared" si="314"/>
        <v>6.2473798624052002E-2</v>
      </c>
      <c r="I365" s="80" t="str">
        <f t="shared" si="315"/>
        <v>072025</v>
      </c>
      <c r="J365" s="79">
        <f t="shared" si="316"/>
        <v>-2.2984285785308867E-2</v>
      </c>
      <c r="K365" s="79">
        <f t="shared" si="317"/>
        <v>-2.3695653739512657E-2</v>
      </c>
      <c r="L365" s="81">
        <f t="shared" si="318"/>
        <v>100.12450007203458</v>
      </c>
      <c r="M365" s="82">
        <f t="shared" si="319"/>
        <v>106.24737986240517</v>
      </c>
    </row>
    <row r="366" spans="1:13" ht="15" thickBot="1" x14ac:dyDescent="0.35">
      <c r="A366" s="60">
        <v>45856</v>
      </c>
      <c r="B366" s="68" vm="226">
        <v>133381.57999999999</v>
      </c>
      <c r="C366" s="68">
        <v>120519.08</v>
      </c>
      <c r="D366" s="68">
        <v>1.777026</v>
      </c>
      <c r="E366" s="79">
        <f t="shared" si="311"/>
        <v>-6.3104236343678455E-3</v>
      </c>
      <c r="F366" s="79">
        <f t="shared" si="312"/>
        <v>-1.6104187563816375E-2</v>
      </c>
      <c r="G366" s="79">
        <f t="shared" si="313"/>
        <v>-5.0732793959927802E-3</v>
      </c>
      <c r="H366" s="79">
        <f t="shared" si="314"/>
        <v>4.5363521289369713E-2</v>
      </c>
      <c r="I366" s="80" t="str">
        <f t="shared" si="315"/>
        <v>072025</v>
      </c>
      <c r="J366" s="79">
        <f t="shared" si="316"/>
        <v>-2.9149668839438037E-2</v>
      </c>
      <c r="K366" s="79">
        <f t="shared" si="317"/>
        <v>-3.9418242051060703E-2</v>
      </c>
      <c r="L366" s="81">
        <f t="shared" si="318"/>
        <v>99.49267206040075</v>
      </c>
      <c r="M366" s="82">
        <f t="shared" si="319"/>
        <v>104.53635212893695</v>
      </c>
    </row>
    <row r="367" spans="1:13" ht="15" thickBot="1" x14ac:dyDescent="0.35">
      <c r="A367" s="60">
        <v>45859</v>
      </c>
      <c r="B367" s="68" vm="227">
        <v>134166.72</v>
      </c>
      <c r="C367" s="68">
        <v>120513.74</v>
      </c>
      <c r="D367" s="68">
        <v>1.7769470000000001</v>
      </c>
      <c r="E367" s="79">
        <f t="shared" si="311"/>
        <v>-4.4456299457595883E-5</v>
      </c>
      <c r="F367" s="79">
        <f t="shared" si="312"/>
        <v>5.8864199989234756E-3</v>
      </c>
      <c r="G367" s="79">
        <f t="shared" si="313"/>
        <v>-5.1175101562224157E-3</v>
      </c>
      <c r="H367" s="79">
        <f t="shared" si="314"/>
        <v>5.1516970027232656E-2</v>
      </c>
      <c r="I367" s="80" t="str">
        <f t="shared" si="315"/>
        <v>072025</v>
      </c>
      <c r="J367" s="79">
        <f t="shared" si="316"/>
        <v>-2.9192829252488561E-2</v>
      </c>
      <c r="K367" s="79">
        <f t="shared" si="317"/>
        <v>-3.3763854380469027E-2</v>
      </c>
      <c r="L367" s="81">
        <f t="shared" si="318"/>
        <v>99.48824898437779</v>
      </c>
      <c r="M367" s="82">
        <f t="shared" si="319"/>
        <v>105.15169700272324</v>
      </c>
    </row>
    <row r="368" spans="1:13" ht="15" thickBot="1" x14ac:dyDescent="0.35">
      <c r="A368" s="60">
        <v>45860</v>
      </c>
      <c r="B368" s="68" vm="228">
        <v>134035.72</v>
      </c>
      <c r="C368" s="68">
        <v>120920.76</v>
      </c>
      <c r="D368" s="68">
        <v>1.7829489999999999</v>
      </c>
      <c r="E368" s="79">
        <f t="shared" si="311"/>
        <v>3.3777034430402253E-3</v>
      </c>
      <c r="F368" s="79">
        <f t="shared" si="312"/>
        <v>-9.7639712739494566E-4</v>
      </c>
      <c r="G368" s="79">
        <f t="shared" si="313"/>
        <v>-1.7570921448566423E-3</v>
      </c>
      <c r="H368" s="79">
        <f t="shared" si="314"/>
        <v>5.0490271878290915E-2</v>
      </c>
      <c r="I368" s="80" t="str">
        <f t="shared" si="315"/>
        <v>072025</v>
      </c>
      <c r="J368" s="79">
        <f t="shared" si="316"/>
        <v>-2.5913730529326551E-2</v>
      </c>
      <c r="K368" s="79">
        <f t="shared" si="317"/>
        <v>-3.4707284577437103E-2</v>
      </c>
      <c r="L368" s="81">
        <f t="shared" si="318"/>
        <v>99.824290785514364</v>
      </c>
      <c r="M368" s="82">
        <f t="shared" si="319"/>
        <v>105.04902718782908</v>
      </c>
    </row>
    <row r="369" spans="1:13" ht="15" thickBot="1" x14ac:dyDescent="0.35">
      <c r="A369" s="60">
        <v>45861</v>
      </c>
      <c r="B369" s="68" vm="229">
        <v>135368.26999999999</v>
      </c>
      <c r="C369" s="68">
        <v>121921.1</v>
      </c>
      <c r="D369" s="68">
        <v>1.797698</v>
      </c>
      <c r="E369" s="79">
        <f t="shared" si="311"/>
        <v>8.2722500755771922E-3</v>
      </c>
      <c r="F369" s="79">
        <f t="shared" si="312"/>
        <v>9.9417528402130362E-3</v>
      </c>
      <c r="G369" s="79">
        <f t="shared" si="313"/>
        <v>6.5006228250923392E-3</v>
      </c>
      <c r="H369" s="79">
        <f t="shared" si="314"/>
        <v>6.0933986522353045E-2</v>
      </c>
      <c r="I369" s="80" t="str">
        <f t="shared" si="315"/>
        <v>072025</v>
      </c>
      <c r="J369" s="79">
        <f t="shared" si="316"/>
        <v>-1.7855845313079044E-2</v>
      </c>
      <c r="K369" s="79">
        <f t="shared" si="317"/>
        <v>-2.5110582982247887E-2</v>
      </c>
      <c r="L369" s="81">
        <f t="shared" si="318"/>
        <v>100.65006228250928</v>
      </c>
      <c r="M369" s="82">
        <f t="shared" si="319"/>
        <v>106.09339865223529</v>
      </c>
    </row>
    <row r="370" spans="1:13" ht="15" thickBot="1" x14ac:dyDescent="0.35">
      <c r="A370" s="60">
        <v>45862</v>
      </c>
      <c r="B370" s="68" vm="230">
        <v>133807.59</v>
      </c>
      <c r="C370" s="68">
        <v>121186.24000000001</v>
      </c>
      <c r="D370" s="68">
        <v>1.7868630000000001</v>
      </c>
      <c r="E370" s="79">
        <f t="shared" si="311"/>
        <v>-6.0271525028119388E-3</v>
      </c>
      <c r="F370" s="79">
        <f t="shared" si="312"/>
        <v>-1.1529141947370647E-2</v>
      </c>
      <c r="G370" s="79">
        <f t="shared" si="313"/>
        <v>4.3429007715034551E-4</v>
      </c>
      <c r="H370" s="79">
        <f t="shared" si="314"/>
        <v>4.8702327994947003E-2</v>
      </c>
      <c r="I370" s="80" t="str">
        <f t="shared" si="315"/>
        <v>072025</v>
      </c>
      <c r="J370" s="79">
        <f t="shared" si="316"/>
        <v>-2.3775377913122453E-2</v>
      </c>
      <c r="K370" s="79">
        <f t="shared" si="317"/>
        <v>-3.6350221454034992E-2</v>
      </c>
      <c r="L370" s="81">
        <f t="shared" si="318"/>
        <v>100.04342900771508</v>
      </c>
      <c r="M370" s="82">
        <f t="shared" si="319"/>
        <v>104.87023279949469</v>
      </c>
    </row>
    <row r="371" spans="1:13" ht="15" thickBot="1" x14ac:dyDescent="0.35">
      <c r="A371" s="60">
        <v>45863</v>
      </c>
      <c r="B371" s="68" vm="231">
        <v>133524.18</v>
      </c>
      <c r="C371" s="68">
        <v>120613.47</v>
      </c>
      <c r="D371" s="68">
        <v>1.7784180000000001</v>
      </c>
      <c r="E371" s="79">
        <f t="shared" si="311"/>
        <v>-4.7261597559522528E-3</v>
      </c>
      <c r="F371" s="79">
        <f t="shared" si="312"/>
        <v>-2.1180412859987952E-3</v>
      </c>
      <c r="G371" s="79">
        <f t="shared" si="313"/>
        <v>-4.2939222030868862E-3</v>
      </c>
      <c r="H371" s="79">
        <f t="shared" si="314"/>
        <v>4.6481133167530553E-2</v>
      </c>
      <c r="I371" s="80" t="str">
        <f t="shared" si="315"/>
        <v>072025</v>
      </c>
      <c r="J371" s="79">
        <f t="shared" si="316"/>
        <v>-2.8389171434799132E-2</v>
      </c>
      <c r="K371" s="79">
        <f t="shared" si="317"/>
        <v>-3.8391271470238908E-2</v>
      </c>
      <c r="L371" s="81">
        <f t="shared" si="318"/>
        <v>99.570607779691343</v>
      </c>
      <c r="M371" s="82">
        <f t="shared" si="319"/>
        <v>104.64811331675305</v>
      </c>
    </row>
    <row r="372" spans="1:13" ht="15" thickBot="1" x14ac:dyDescent="0.35">
      <c r="A372" s="60">
        <v>45866</v>
      </c>
      <c r="B372" s="68" vm="232">
        <v>132129.26</v>
      </c>
      <c r="C372" s="68">
        <v>119508.49</v>
      </c>
      <c r="D372" s="68">
        <v>1.7621249999999999</v>
      </c>
      <c r="E372" s="79">
        <f t="shared" si="311"/>
        <v>-9.1615132100553165E-3</v>
      </c>
      <c r="F372" s="79">
        <f t="shared" si="312"/>
        <v>-1.0446946762751042E-2</v>
      </c>
      <c r="G372" s="79">
        <f t="shared" si="313"/>
        <v>-1.3416096588155679E-2</v>
      </c>
      <c r="H372" s="79">
        <f t="shared" si="314"/>
        <v>3.5548600481106085E-2</v>
      </c>
      <c r="I372" s="80" t="str">
        <f t="shared" si="315"/>
        <v>072025</v>
      </c>
      <c r="J372" s="79">
        <f t="shared" si="316"/>
        <v>-3.7290596875731996E-2</v>
      </c>
      <c r="K372" s="79">
        <f t="shared" si="317"/>
        <v>-4.8437146663786068E-2</v>
      </c>
      <c r="L372" s="81">
        <f t="shared" si="318"/>
        <v>98.658390341184457</v>
      </c>
      <c r="M372" s="82">
        <f t="shared" si="319"/>
        <v>103.5548600481106</v>
      </c>
    </row>
    <row r="373" spans="1:13" ht="15" thickBot="1" x14ac:dyDescent="0.35">
      <c r="A373" s="60">
        <v>45867</v>
      </c>
      <c r="B373" s="68" vm="233">
        <v>132725.68</v>
      </c>
      <c r="C373" s="68">
        <v>119456.49</v>
      </c>
      <c r="D373" s="68">
        <v>1.761358</v>
      </c>
      <c r="E373" s="79">
        <f t="shared" si="311"/>
        <v>-4.3526991558484607E-4</v>
      </c>
      <c r="F373" s="79">
        <f t="shared" si="312"/>
        <v>4.51391311810867E-3</v>
      </c>
      <c r="G373" s="79">
        <f t="shared" si="313"/>
        <v>-1.3845526880511105E-2</v>
      </c>
      <c r="H373" s="79">
        <f t="shared" si="314"/>
        <v>4.0222976893256712E-2</v>
      </c>
      <c r="I373" s="80" t="str">
        <f t="shared" si="315"/>
        <v>072025</v>
      </c>
      <c r="J373" s="79">
        <f t="shared" si="316"/>
        <v>-3.7709635316362622E-2</v>
      </c>
      <c r="K373" s="79">
        <f t="shared" si="317"/>
        <v>-4.4141874617406818E-2</v>
      </c>
      <c r="L373" s="81">
        <f t="shared" si="318"/>
        <v>98.615447311948913</v>
      </c>
      <c r="M373" s="82">
        <f t="shared" si="319"/>
        <v>104.02229768932567</v>
      </c>
    </row>
    <row r="374" spans="1:13" ht="15" thickBot="1" x14ac:dyDescent="0.35">
      <c r="A374" s="60">
        <v>45868</v>
      </c>
      <c r="B374" s="68" vm="234">
        <v>133989.74</v>
      </c>
      <c r="C374" s="68">
        <v>119698.57</v>
      </c>
      <c r="D374" s="68">
        <v>1.7649280000000001</v>
      </c>
      <c r="E374" s="79">
        <f t="shared" si="311"/>
        <v>2.0268451955820499E-3</v>
      </c>
      <c r="F374" s="79">
        <f t="shared" si="312"/>
        <v>9.5238540122755122E-3</v>
      </c>
      <c r="G374" s="79">
        <f t="shared" si="313"/>
        <v>-1.1846744424567124E-2</v>
      </c>
      <c r="H374" s="79">
        <f t="shared" si="314"/>
        <v>5.0129908665402789E-2</v>
      </c>
      <c r="I374" s="80" t="str">
        <f t="shared" si="315"/>
        <v>072025</v>
      </c>
      <c r="J374" s="79">
        <f t="shared" si="316"/>
        <v>-3.5759221713948741E-2</v>
      </c>
      <c r="K374" s="79">
        <f t="shared" si="317"/>
        <v>-3.5038421374815609E-2</v>
      </c>
      <c r="L374" s="81">
        <f t="shared" si="318"/>
        <v>98.815325557543318</v>
      </c>
      <c r="M374" s="82">
        <f t="shared" si="319"/>
        <v>105.01299086654026</v>
      </c>
    </row>
    <row r="375" spans="1:13" ht="15" thickBot="1" x14ac:dyDescent="0.35">
      <c r="A375" s="60">
        <v>45869</v>
      </c>
      <c r="B375" s="68" vm="235">
        <v>133071.04999999999</v>
      </c>
      <c r="C375" s="68">
        <v>118791.62</v>
      </c>
      <c r="D375" s="68">
        <v>1.751555</v>
      </c>
      <c r="E375" s="79">
        <f t="shared" si="311"/>
        <v>-7.577079631577055E-3</v>
      </c>
      <c r="F375" s="79">
        <f t="shared" si="312"/>
        <v>-6.8564204990620992E-3</v>
      </c>
      <c r="G375" s="79">
        <f t="shared" si="313"/>
        <v>-1.9334060330264302E-2</v>
      </c>
      <c r="H375" s="79">
        <f t="shared" si="314"/>
        <v>4.2929776432951039E-2</v>
      </c>
      <c r="I375" s="80" t="str">
        <f t="shared" si="315"/>
        <v>072025</v>
      </c>
      <c r="J375" s="79">
        <f t="shared" si="316"/>
        <v>-4.3065350875035935E-2</v>
      </c>
      <c r="K375" s="79">
        <f t="shared" si="317"/>
        <v>-4.1654603723308647E-2</v>
      </c>
      <c r="L375" s="81">
        <f t="shared" si="318"/>
        <v>98.066593966973599</v>
      </c>
      <c r="M375" s="82">
        <f t="shared" si="319"/>
        <v>104.2929776432951</v>
      </c>
    </row>
    <row r="376" spans="1:13" ht="15" thickBot="1" x14ac:dyDescent="0.35">
      <c r="A376" s="60">
        <v>45870</v>
      </c>
      <c r="B376" s="68" vm="236">
        <v>132437.39000000001</v>
      </c>
      <c r="C376" s="68">
        <v>117766.77</v>
      </c>
      <c r="D376" s="68">
        <v>1.7364440000000001</v>
      </c>
      <c r="E376" s="79">
        <f t="shared" si="311"/>
        <v>-8.62719126718825E-3</v>
      </c>
      <c r="F376" s="79">
        <f t="shared" si="312"/>
        <v>-4.7618170894418999E-3</v>
      </c>
      <c r="G376" s="79">
        <f t="shared" si="313"/>
        <v>-2.7794452961012017E-2</v>
      </c>
      <c r="H376" s="79">
        <f t="shared" si="314"/>
        <v>3.7963535600444853E-2</v>
      </c>
      <c r="I376" s="80" t="str">
        <f t="shared" si="315"/>
        <v>082025</v>
      </c>
      <c r="J376" s="79">
        <f t="shared" si="316"/>
        <v>-8.62719126718825E-3</v>
      </c>
      <c r="K376" s="79">
        <f t="shared" si="317"/>
        <v>-4.7618170894418999E-3</v>
      </c>
      <c r="L376" s="81">
        <f t="shared" si="318"/>
        <v>97.220554703898827</v>
      </c>
      <c r="M376" s="82">
        <f t="shared" si="319"/>
        <v>103.79635356004448</v>
      </c>
    </row>
    <row r="377" spans="1:13" ht="15" thickBot="1" x14ac:dyDescent="0.35">
      <c r="A377" s="60">
        <v>45873</v>
      </c>
      <c r="B377" s="68" vm="237">
        <v>132971.20000000001</v>
      </c>
      <c r="C377" s="68">
        <v>118139</v>
      </c>
      <c r="D377" s="68">
        <v>1.741932</v>
      </c>
      <c r="E377" s="79">
        <f t="shared" si="311"/>
        <v>3.1604819965400655E-3</v>
      </c>
      <c r="F377" s="79">
        <f t="shared" si="312"/>
        <v>4.0306593175838401E-3</v>
      </c>
      <c r="G377" s="79">
        <f t="shared" si="313"/>
        <v>-2.4721814832658895E-2</v>
      </c>
      <c r="H377" s="79">
        <f t="shared" si="314"/>
        <v>4.2147212996525241E-2</v>
      </c>
      <c r="I377" s="80" t="str">
        <f t="shared" si="315"/>
        <v>082025</v>
      </c>
      <c r="J377" s="79">
        <f t="shared" si="316"/>
        <v>-5.4939753533288505E-3</v>
      </c>
      <c r="K377" s="79">
        <f t="shared" si="317"/>
        <v>-7.5035103427822936E-4</v>
      </c>
      <c r="L377" s="81">
        <f t="shared" si="318"/>
        <v>97.527818516734143</v>
      </c>
      <c r="M377" s="82">
        <f t="shared" si="319"/>
        <v>104.2147212996525</v>
      </c>
    </row>
    <row r="378" spans="1:13" ht="15" thickBot="1" x14ac:dyDescent="0.35">
      <c r="A378" s="60">
        <v>45874</v>
      </c>
      <c r="B378" s="68" vm="238">
        <v>133151.29999999999</v>
      </c>
      <c r="C378" s="68">
        <v>117805.05</v>
      </c>
      <c r="D378" s="68">
        <v>1.7370080000000001</v>
      </c>
      <c r="E378" s="79">
        <f t="shared" si="311"/>
        <v>-2.8267463942335258E-3</v>
      </c>
      <c r="F378" s="79">
        <f t="shared" si="312"/>
        <v>1.3544286281539364E-3</v>
      </c>
      <c r="G378" s="79">
        <f t="shared" si="313"/>
        <v>-2.7478678925955236E-2</v>
      </c>
      <c r="H378" s="79">
        <f t="shared" si="314"/>
        <v>4.3558727016558496E-2</v>
      </c>
      <c r="I378" s="80" t="str">
        <f t="shared" si="315"/>
        <v>082025</v>
      </c>
      <c r="J378" s="79">
        <f t="shared" si="316"/>
        <v>-8.3051916725424002E-3</v>
      </c>
      <c r="K378" s="79">
        <f t="shared" si="317"/>
        <v>6.0306129695364419E-4</v>
      </c>
      <c r="L378" s="81">
        <f t="shared" si="318"/>
        <v>97.252132107404506</v>
      </c>
      <c r="M378" s="82">
        <f t="shared" si="319"/>
        <v>104.35587270165583</v>
      </c>
    </row>
    <row r="379" spans="1:13" ht="15" thickBot="1" x14ac:dyDescent="0.35">
      <c r="A379" s="60">
        <v>45875</v>
      </c>
      <c r="B379" s="68" vm="239">
        <v>134537.62</v>
      </c>
      <c r="C379" s="68">
        <v>118443.45</v>
      </c>
      <c r="D379" s="68">
        <v>1.746421</v>
      </c>
      <c r="E379" s="79">
        <f t="shared" si="311"/>
        <v>5.4190884555511687E-3</v>
      </c>
      <c r="F379" s="79">
        <f t="shared" si="312"/>
        <v>1.0411614456637075E-2</v>
      </c>
      <c r="G379" s="79">
        <f t="shared" si="313"/>
        <v>-2.220849986214557E-2</v>
      </c>
      <c r="H379" s="79">
        <f t="shared" si="314"/>
        <v>5.4423858145113746E-2</v>
      </c>
      <c r="I379" s="80" t="str">
        <f t="shared" si="315"/>
        <v>082025</v>
      </c>
      <c r="J379" s="79">
        <f t="shared" si="316"/>
        <v>-2.931109785305086E-3</v>
      </c>
      <c r="K379" s="79">
        <f t="shared" si="317"/>
        <v>1.1020954595308385E-2</v>
      </c>
      <c r="L379" s="81">
        <f t="shared" si="318"/>
        <v>97.779150013785483</v>
      </c>
      <c r="M379" s="82">
        <f t="shared" si="319"/>
        <v>105.44238581451137</v>
      </c>
    </row>
    <row r="380" spans="1:13" ht="15" thickBot="1" x14ac:dyDescent="0.35">
      <c r="A380" s="60">
        <v>45876</v>
      </c>
      <c r="B380" s="68" vm="240">
        <v>136527.60999999999</v>
      </c>
      <c r="C380" s="68">
        <v>119547.44</v>
      </c>
      <c r="D380" s="68">
        <v>1.762699</v>
      </c>
      <c r="E380" s="79">
        <f t="shared" si="311"/>
        <v>9.3207766054119734E-3</v>
      </c>
      <c r="F380" s="79">
        <f t="shared" si="312"/>
        <v>1.4791327511219476E-2</v>
      </c>
      <c r="G380" s="79">
        <f t="shared" si="313"/>
        <v>-1.309472372269016E-2</v>
      </c>
      <c r="H380" s="79">
        <f t="shared" si="314"/>
        <v>7.0020186766581727E-2</v>
      </c>
      <c r="I380" s="80" t="str">
        <f t="shared" si="315"/>
        <v>082025</v>
      </c>
      <c r="J380" s="79">
        <f t="shared" si="316"/>
        <v>6.3623466005922058E-3</v>
      </c>
      <c r="K380" s="79">
        <f t="shared" si="317"/>
        <v>2.5975296655433411E-2</v>
      </c>
      <c r="L380" s="81">
        <f t="shared" si="318"/>
        <v>98.690527627731043</v>
      </c>
      <c r="M380" s="82">
        <f t="shared" si="319"/>
        <v>107.00201867665817</v>
      </c>
    </row>
    <row r="381" spans="1:13" ht="15" thickBot="1" x14ac:dyDescent="0.35">
      <c r="A381" s="60">
        <v>45877</v>
      </c>
      <c r="B381" s="68" vm="241">
        <v>135913.25</v>
      </c>
      <c r="C381" s="68">
        <v>120282.66</v>
      </c>
      <c r="D381" s="68">
        <v>1.7735399999999999</v>
      </c>
      <c r="E381" s="79">
        <f t="shared" si="311"/>
        <v>6.1502275771416759E-3</v>
      </c>
      <c r="F381" s="79">
        <f t="shared" si="312"/>
        <v>-4.499895662130049E-3</v>
      </c>
      <c r="G381" s="79">
        <f t="shared" si="313"/>
        <v>-7.0250316765029241E-3</v>
      </c>
      <c r="H381" s="79">
        <f t="shared" si="314"/>
        <v>6.5205207569759116E-2</v>
      </c>
      <c r="I381" s="80" t="str">
        <f t="shared" si="315"/>
        <v>082025</v>
      </c>
      <c r="J381" s="79">
        <f t="shared" si="316"/>
        <v>1.2551704057252255E-2</v>
      </c>
      <c r="K381" s="79">
        <f t="shared" si="317"/>
        <v>2.1358514868561107E-2</v>
      </c>
      <c r="L381" s="81">
        <f t="shared" si="318"/>
        <v>99.297496832349779</v>
      </c>
      <c r="M381" s="82">
        <f t="shared" si="319"/>
        <v>106.52052075697591</v>
      </c>
    </row>
    <row r="382" spans="1:13" ht="15" thickBot="1" x14ac:dyDescent="0.35">
      <c r="A382" s="60">
        <v>45880</v>
      </c>
      <c r="B382" s="68" vm="242">
        <v>135623.15</v>
      </c>
      <c r="C382" s="68">
        <v>119938.71</v>
      </c>
      <c r="D382" s="68">
        <v>1.76846904</v>
      </c>
      <c r="E382" s="79">
        <f t="shared" si="311"/>
        <v>-2.8592306911600085E-3</v>
      </c>
      <c r="F382" s="79">
        <f t="shared" si="312"/>
        <v>-2.1344497317222766E-3</v>
      </c>
      <c r="G382" s="79">
        <f t="shared" si="313"/>
        <v>-9.8641761814870499E-3</v>
      </c>
      <c r="H382" s="79">
        <f t="shared" si="314"/>
        <v>6.2931580600232628E-2</v>
      </c>
      <c r="I382" s="80" t="str">
        <f t="shared" si="315"/>
        <v>082025</v>
      </c>
      <c r="J382" s="79">
        <f t="shared" si="316"/>
        <v>9.6565851486254406E-3</v>
      </c>
      <c r="K382" s="79">
        <f t="shared" si="317"/>
        <v>1.9178476460507632E-2</v>
      </c>
      <c r="L382" s="81">
        <f t="shared" si="318"/>
        <v>99.013582381851364</v>
      </c>
      <c r="M382" s="82">
        <f t="shared" si="319"/>
        <v>106.29315806002327</v>
      </c>
    </row>
    <row r="383" spans="1:13" ht="15" thickBot="1" x14ac:dyDescent="0.35">
      <c r="A383" s="60">
        <v>45881</v>
      </c>
      <c r="B383" s="68" vm="243">
        <v>137913.68</v>
      </c>
      <c r="C383" s="68">
        <v>122418.05</v>
      </c>
      <c r="D383" s="68">
        <v>1.8050263499999999</v>
      </c>
      <c r="E383" s="79">
        <f t="shared" si="311"/>
        <v>2.0671727450767063E-2</v>
      </c>
      <c r="F383" s="79">
        <f t="shared" si="312"/>
        <v>1.6888930835185612E-2</v>
      </c>
      <c r="G383" s="79">
        <f t="shared" si="313"/>
        <v>1.0603641707729983E-2</v>
      </c>
      <c r="H383" s="79">
        <f t="shared" si="314"/>
        <v>8.0883358547524598E-2</v>
      </c>
      <c r="I383" s="80" t="str">
        <f t="shared" si="315"/>
        <v>082025</v>
      </c>
      <c r="J383" s="79">
        <f t="shared" si="316"/>
        <v>3.0527930895690059E-2</v>
      </c>
      <c r="K383" s="79">
        <f t="shared" si="317"/>
        <v>3.6391311258159087E-2</v>
      </c>
      <c r="L383" s="81">
        <f t="shared" si="318"/>
        <v>101.06036417077307</v>
      </c>
      <c r="M383" s="82">
        <f t="shared" si="319"/>
        <v>108.08833585475246</v>
      </c>
    </row>
    <row r="384" spans="1:13" ht="15" thickBot="1" x14ac:dyDescent="0.35">
      <c r="A384" s="60">
        <v>45882</v>
      </c>
      <c r="B384" s="68" vm="244">
        <v>136687.32</v>
      </c>
      <c r="C384" s="68">
        <v>121695.89</v>
      </c>
      <c r="D384" s="68">
        <v>1.79437826</v>
      </c>
      <c r="E384" s="79">
        <f t="shared" si="311"/>
        <v>-5.8991327190319742E-3</v>
      </c>
      <c r="F384" s="79">
        <f t="shared" si="312"/>
        <v>-8.8922288202301081E-3</v>
      </c>
      <c r="G384" s="79">
        <f t="shared" si="313"/>
        <v>4.6419566989590599E-3</v>
      </c>
      <c r="H384" s="79">
        <f t="shared" si="314"/>
        <v>7.127189639534115E-2</v>
      </c>
      <c r="I384" s="80" t="str">
        <f t="shared" si="315"/>
        <v>082025</v>
      </c>
      <c r="J384" s="79">
        <f t="shared" si="316"/>
        <v>2.444870986066694E-2</v>
      </c>
      <c r="K384" s="79">
        <f t="shared" si="317"/>
        <v>2.7175482571153209E-2</v>
      </c>
      <c r="L384" s="81">
        <f t="shared" si="318"/>
        <v>100.46419566989597</v>
      </c>
      <c r="M384" s="82">
        <f t="shared" si="319"/>
        <v>107.12718963953412</v>
      </c>
    </row>
    <row r="385" spans="1:13" ht="15" thickBot="1" x14ac:dyDescent="0.35">
      <c r="A385" s="60">
        <v>45883</v>
      </c>
      <c r="B385" s="68" vm="245">
        <v>136355.78</v>
      </c>
      <c r="C385" s="68">
        <v>122072.92</v>
      </c>
      <c r="D385" s="68">
        <v>1.79993749</v>
      </c>
      <c r="E385" s="79">
        <f t="shared" si="311"/>
        <v>3.0981371787239809E-3</v>
      </c>
      <c r="F385" s="79">
        <f t="shared" si="312"/>
        <v>-2.4255358873084276E-3</v>
      </c>
      <c r="G385" s="79">
        <f t="shared" si="313"/>
        <v>7.7544752963141228E-3</v>
      </c>
      <c r="H385" s="79">
        <f t="shared" si="314"/>
        <v>6.8673487965569269E-2</v>
      </c>
      <c r="I385" s="80" t="str">
        <f t="shared" si="315"/>
        <v>082025</v>
      </c>
      <c r="J385" s="79">
        <f t="shared" si="316"/>
        <v>2.7622592496381992E-2</v>
      </c>
      <c r="K385" s="79">
        <f t="shared" si="317"/>
        <v>2.4684031575613608E-2</v>
      </c>
      <c r="L385" s="81">
        <f t="shared" si="318"/>
        <v>100.77544752963148</v>
      </c>
      <c r="M385" s="82">
        <f t="shared" si="319"/>
        <v>106.86734879655694</v>
      </c>
    </row>
    <row r="386" spans="1:13" ht="15" thickBot="1" x14ac:dyDescent="0.35">
      <c r="A386" s="60">
        <v>45884</v>
      </c>
      <c r="B386" s="68" vm="246">
        <v>136340.76999999999</v>
      </c>
      <c r="C386" s="68">
        <v>122450.12</v>
      </c>
      <c r="D386" s="68">
        <v>1.80549921</v>
      </c>
      <c r="E386" s="79">
        <f t="shared" si="311"/>
        <v>3.0899517516023156E-3</v>
      </c>
      <c r="F386" s="79">
        <f t="shared" si="312"/>
        <v>-1.1007967539045094E-4</v>
      </c>
      <c r="G386" s="79">
        <f t="shared" si="313"/>
        <v>1.0868388002440943E-2</v>
      </c>
      <c r="H386" s="79">
        <f t="shared" si="314"/>
        <v>6.8555848734915825E-2</v>
      </c>
      <c r="I386" s="80" t="str">
        <f t="shared" si="315"/>
        <v>082025</v>
      </c>
      <c r="J386" s="79">
        <f t="shared" si="316"/>
        <v>3.0797896726052265E-2</v>
      </c>
      <c r="K386" s="79">
        <f t="shared" si="317"/>
        <v>2.4571234690039967E-2</v>
      </c>
      <c r="L386" s="81">
        <f t="shared" si="318"/>
        <v>101.08683880024417</v>
      </c>
      <c r="M386" s="82">
        <f t="shared" si="319"/>
        <v>106.85558487349158</v>
      </c>
    </row>
    <row r="387" spans="1:13" ht="15" thickBot="1" x14ac:dyDescent="0.35">
      <c r="A387" s="60">
        <v>45887</v>
      </c>
      <c r="B387" s="68" vm="247">
        <v>137321.64000000001</v>
      </c>
      <c r="C387" s="68">
        <v>123207.12</v>
      </c>
      <c r="D387" s="68">
        <v>1.81666101</v>
      </c>
      <c r="E387" s="79">
        <f t="shared" si="311"/>
        <v>6.1821129237713546E-3</v>
      </c>
      <c r="F387" s="79">
        <f t="shared" si="312"/>
        <v>7.1942530469795152E-3</v>
      </c>
      <c r="G387" s="79">
        <f t="shared" si="313"/>
        <v>1.7117690528142715E-2</v>
      </c>
      <c r="H387" s="79">
        <f t="shared" si="314"/>
        <v>7.6243309905544621E-2</v>
      </c>
      <c r="I387" s="80" t="str">
        <f t="shared" si="315"/>
        <v>082025</v>
      </c>
      <c r="J387" s="79">
        <f t="shared" si="316"/>
        <v>3.7170405725198696E-2</v>
      </c>
      <c r="K387" s="79">
        <f t="shared" si="317"/>
        <v>3.1942259417056418E-2</v>
      </c>
      <c r="L387" s="81">
        <f t="shared" si="318"/>
        <v>101.71176905281435</v>
      </c>
      <c r="M387" s="82">
        <f t="shared" si="319"/>
        <v>107.62433099055447</v>
      </c>
    </row>
    <row r="388" spans="1:13" ht="15" thickBot="1" x14ac:dyDescent="0.35">
      <c r="A388" s="60">
        <v>45888</v>
      </c>
      <c r="B388" s="68" vm="248">
        <v>134432.26</v>
      </c>
      <c r="C388" s="68">
        <v>121337.74</v>
      </c>
      <c r="D388" s="68">
        <v>1.78909742</v>
      </c>
      <c r="E388" s="79">
        <f t="shared" si="311"/>
        <v>-1.5172665592685375E-2</v>
      </c>
      <c r="F388" s="79">
        <f t="shared" si="312"/>
        <v>-2.1040966303635833E-2</v>
      </c>
      <c r="G388" s="79">
        <f t="shared" si="313"/>
        <v>1.6853039413549098E-3</v>
      </c>
      <c r="H388" s="79">
        <f t="shared" si="314"/>
        <v>5.3598110687308687E-2</v>
      </c>
      <c r="I388" s="80" t="str">
        <f t="shared" si="315"/>
        <v>082025</v>
      </c>
      <c r="J388" s="79">
        <f t="shared" si="316"/>
        <v>2.1433765996500487E-2</v>
      </c>
      <c r="K388" s="79">
        <f t="shared" si="317"/>
        <v>1.0229197109364208E-2</v>
      </c>
      <c r="L388" s="81">
        <f t="shared" si="318"/>
        <v>100.16853039413554</v>
      </c>
      <c r="M388" s="82">
        <f t="shared" si="319"/>
        <v>105.35981106873086</v>
      </c>
    </row>
    <row r="389" spans="1:13" ht="15" thickBot="1" x14ac:dyDescent="0.35">
      <c r="A389" s="60">
        <v>45889</v>
      </c>
      <c r="B389" s="68" vm="249">
        <v>134666.46</v>
      </c>
      <c r="C389" s="68">
        <v>132144.25</v>
      </c>
      <c r="D389" s="68">
        <v>1.78624446</v>
      </c>
      <c r="E389" s="79">
        <f t="shared" si="311"/>
        <v>-1.5946364731775908E-3</v>
      </c>
      <c r="F389" s="79">
        <f t="shared" si="312"/>
        <v>1.7421413580340772E-3</v>
      </c>
      <c r="G389" s="79">
        <f t="shared" si="313"/>
        <v>8.79800210440429E-5</v>
      </c>
      <c r="H389" s="79">
        <f t="shared" si="314"/>
        <v>5.5433627530683482E-2</v>
      </c>
      <c r="I389" s="80" t="str">
        <f t="shared" si="315"/>
        <v>082025</v>
      </c>
      <c r="J389" s="79">
        <f t="shared" si="316"/>
        <v>1.9804950458307324E-2</v>
      </c>
      <c r="K389" s="79">
        <f t="shared" si="317"/>
        <v>1.1989159174742081E-2</v>
      </c>
      <c r="L389" s="81">
        <f t="shared" si="318"/>
        <v>100.00879800210446</v>
      </c>
      <c r="M389" s="82">
        <f t="shared" si="319"/>
        <v>105.54336275306835</v>
      </c>
    </row>
    <row r="390" spans="1:13" ht="15" thickBot="1" x14ac:dyDescent="0.35">
      <c r="A390" s="60">
        <v>45890</v>
      </c>
      <c r="B390" s="68" vm="250">
        <v>134510.85</v>
      </c>
      <c r="C390" s="68">
        <v>131827.98000000001</v>
      </c>
      <c r="D390" s="68">
        <v>1.78196932</v>
      </c>
      <c r="E390" s="79">
        <f t="shared" si="311"/>
        <v>-2.3933678148398974E-3</v>
      </c>
      <c r="F390" s="79">
        <f t="shared" si="312"/>
        <v>-1.1555215753052961E-3</v>
      </c>
      <c r="G390" s="79">
        <f t="shared" si="313"/>
        <v>-2.3055983623466725E-3</v>
      </c>
      <c r="H390" s="79">
        <f t="shared" si="314"/>
        <v>5.421405120276912E-2</v>
      </c>
      <c r="I390" s="80" t="str">
        <f t="shared" si="315"/>
        <v>082025</v>
      </c>
      <c r="J390" s="79">
        <f t="shared" si="316"/>
        <v>1.7364182112465931E-2</v>
      </c>
      <c r="K390" s="79">
        <f t="shared" si="317"/>
        <v>1.0819783867340504E-2</v>
      </c>
      <c r="L390" s="81">
        <f t="shared" si="318"/>
        <v>99.769440163765395</v>
      </c>
      <c r="M390" s="82">
        <f t="shared" si="319"/>
        <v>105.4214051202769</v>
      </c>
    </row>
    <row r="391" spans="1:13" ht="15" thickBot="1" x14ac:dyDescent="0.35">
      <c r="A391" s="60">
        <v>45891</v>
      </c>
      <c r="B391" s="68" vm="251">
        <v>137968.15</v>
      </c>
      <c r="C391" s="68">
        <v>134316.44</v>
      </c>
      <c r="D391" s="68">
        <v>1.8020894000000001</v>
      </c>
      <c r="E391" s="79">
        <f t="shared" si="311"/>
        <v>1.1290923908835904E-2</v>
      </c>
      <c r="F391" s="79">
        <f t="shared" si="312"/>
        <v>2.5702759294138566E-2</v>
      </c>
      <c r="G391" s="79">
        <f t="shared" si="313"/>
        <v>8.9592932108157886E-3</v>
      </c>
      <c r="H391" s="79">
        <f t="shared" si="314"/>
        <v>8.1310261205332468E-2</v>
      </c>
      <c r="I391" s="80" t="str">
        <f t="shared" si="315"/>
        <v>082025</v>
      </c>
      <c r="J391" s="79">
        <f t="shared" si="316"/>
        <v>2.8851163680272851E-2</v>
      </c>
      <c r="K391" s="79">
        <f t="shared" si="317"/>
        <v>3.6800641461836037E-2</v>
      </c>
      <c r="L391" s="81">
        <f t="shared" si="318"/>
        <v>100.89592932108162</v>
      </c>
      <c r="M391" s="82">
        <f t="shared" si="319"/>
        <v>108.13102612053325</v>
      </c>
    </row>
    <row r="392" spans="1:13" ht="15" thickBot="1" x14ac:dyDescent="0.35">
      <c r="A392" s="60">
        <v>45894</v>
      </c>
      <c r="B392" s="68" vm="252">
        <v>138025.17000000001</v>
      </c>
      <c r="C392" s="68">
        <v>134337.82999999999</v>
      </c>
      <c r="D392" s="68">
        <v>1.8023763799999999</v>
      </c>
      <c r="E392" s="79">
        <f t="shared" si="311"/>
        <v>1.5924848123516355E-4</v>
      </c>
      <c r="F392" s="79">
        <f t="shared" si="312"/>
        <v>4.1328379049820896E-4</v>
      </c>
      <c r="G392" s="79">
        <f t="shared" si="313"/>
        <v>9.1199684458875829E-3</v>
      </c>
      <c r="H392" s="79">
        <f t="shared" si="314"/>
        <v>8.1757149208788071E-2</v>
      </c>
      <c r="I392" s="80" t="str">
        <f t="shared" si="315"/>
        <v>082025</v>
      </c>
      <c r="J392" s="79">
        <f t="shared" si="316"/>
        <v>2.9015006665505938E-2</v>
      </c>
      <c r="K392" s="79">
        <f t="shared" si="317"/>
        <v>3.7229134360930338E-2</v>
      </c>
      <c r="L392" s="81">
        <f t="shared" si="318"/>
        <v>100.91199684458881</v>
      </c>
      <c r="M392" s="82">
        <f t="shared" si="319"/>
        <v>108.1757149208788</v>
      </c>
    </row>
    <row r="393" spans="1:13" ht="15" thickBot="1" x14ac:dyDescent="0.35">
      <c r="A393" s="60">
        <v>45895</v>
      </c>
      <c r="B393" s="68" vm="253">
        <v>137771.39000000001</v>
      </c>
      <c r="C393" s="68">
        <v>134652.64000000001</v>
      </c>
      <c r="D393" s="68">
        <v>1.80660011</v>
      </c>
      <c r="E393" s="79">
        <f t="shared" si="311"/>
        <v>2.3434228537770885E-3</v>
      </c>
      <c r="F393" s="79">
        <f t="shared" si="312"/>
        <v>-1.8386501534466415E-3</v>
      </c>
      <c r="G393" s="79">
        <f t="shared" si="313"/>
        <v>1.1484763242146423E-2</v>
      </c>
      <c r="H393" s="79">
        <f t="shared" si="314"/>
        <v>7.9768176260403223E-2</v>
      </c>
      <c r="I393" s="80" t="str">
        <f t="shared" si="315"/>
        <v>082025</v>
      </c>
      <c r="J393" s="79">
        <f t="shared" si="316"/>
        <v>3.1426423949005411E-2</v>
      </c>
      <c r="K393" s="79">
        <f t="shared" si="317"/>
        <v>3.532203285387836E-2</v>
      </c>
      <c r="L393" s="81">
        <f t="shared" si="318"/>
        <v>101.1484763242147</v>
      </c>
      <c r="M393" s="82">
        <f t="shared" si="319"/>
        <v>107.97681762604033</v>
      </c>
    </row>
    <row r="394" spans="1:13" ht="15" thickBot="1" x14ac:dyDescent="0.35">
      <c r="A394" s="60">
        <v>45896</v>
      </c>
      <c r="B394" s="68" vm="254">
        <v>139205.81</v>
      </c>
      <c r="C394" s="68">
        <v>135406.26999999999</v>
      </c>
      <c r="D394" s="68">
        <v>1.8167113699999999</v>
      </c>
      <c r="E394" s="79">
        <f t="shared" si="311"/>
        <v>5.5968445612459838E-3</v>
      </c>
      <c r="F394" s="79">
        <f t="shared" si="312"/>
        <v>1.0411595615025693E-2</v>
      </c>
      <c r="G394" s="79">
        <f t="shared" si="313"/>
        <v>1.7145886238081554E-2</v>
      </c>
      <c r="H394" s="79">
        <f t="shared" si="314"/>
        <v>9.1010285869600249E-2</v>
      </c>
      <c r="I394" s="80" t="str">
        <f t="shared" si="315"/>
        <v>082025</v>
      </c>
      <c r="J394" s="79">
        <f t="shared" si="316"/>
        <v>3.719915732020973E-2</v>
      </c>
      <c r="K394" s="79">
        <f t="shared" si="317"/>
        <v>4.6101387191279208E-2</v>
      </c>
      <c r="L394" s="81">
        <f t="shared" si="318"/>
        <v>101.7145886238082</v>
      </c>
      <c r="M394" s="82">
        <f t="shared" si="319"/>
        <v>109.10102858696004</v>
      </c>
    </row>
    <row r="395" spans="1:13" ht="15" thickBot="1" x14ac:dyDescent="0.35">
      <c r="A395" s="60">
        <v>45897</v>
      </c>
      <c r="B395" s="68" vm="255">
        <v>141049.20000000001</v>
      </c>
      <c r="C395" s="68">
        <v>136283.39000000001</v>
      </c>
      <c r="D395" s="68">
        <v>1.82847947</v>
      </c>
      <c r="E395" s="79">
        <f t="shared" si="311"/>
        <v>6.4776938121986483E-3</v>
      </c>
      <c r="F395" s="79">
        <f t="shared" si="312"/>
        <v>1.3242191543585857E-2</v>
      </c>
      <c r="G395" s="79">
        <f t="shared" si="313"/>
        <v>2.3734645851469338E-2</v>
      </c>
      <c r="H395" s="79">
        <f t="shared" si="314"/>
        <v>0.10545765305110799</v>
      </c>
      <c r="I395" s="80" t="str">
        <f t="shared" si="315"/>
        <v>082025</v>
      </c>
      <c r="J395" s="79">
        <f t="shared" si="316"/>
        <v>4.3917815883600442E-2</v>
      </c>
      <c r="K395" s="79">
        <f t="shared" si="317"/>
        <v>5.995406213447696E-2</v>
      </c>
      <c r="L395" s="81">
        <f t="shared" si="318"/>
        <v>102.37346458514698</v>
      </c>
      <c r="M395" s="82">
        <f t="shared" si="319"/>
        <v>110.54576530511081</v>
      </c>
    </row>
    <row r="396" spans="1:13" ht="15" thickBot="1" x14ac:dyDescent="0.35">
      <c r="A396" s="60">
        <v>45898</v>
      </c>
      <c r="B396" s="68" vm="256">
        <v>141422.26</v>
      </c>
      <c r="C396" s="68">
        <v>136438.29</v>
      </c>
      <c r="D396" s="68">
        <v>1.8305577200000001</v>
      </c>
      <c r="E396" s="79">
        <f t="shared" si="311"/>
        <v>1.1366001281929439E-3</v>
      </c>
      <c r="F396" s="79">
        <f t="shared" si="312"/>
        <v>2.644892704106061E-3</v>
      </c>
      <c r="G396" s="79">
        <f t="shared" si="313"/>
        <v>2.4898222781179591E-2</v>
      </c>
      <c r="H396" s="79">
        <f t="shared" si="314"/>
        <v>0.10838146993236109</v>
      </c>
      <c r="I396" s="80" t="str">
        <f t="shared" si="315"/>
        <v>082025</v>
      </c>
      <c r="J396" s="79">
        <f t="shared" si="316"/>
        <v>4.5104333006956709E-2</v>
      </c>
      <c r="K396" s="79">
        <f t="shared" si="317"/>
        <v>6.2757526900103944E-2</v>
      </c>
      <c r="L396" s="81">
        <f t="shared" si="318"/>
        <v>102.48982227811801</v>
      </c>
      <c r="M396" s="82">
        <f t="shared" si="319"/>
        <v>110.83814699323611</v>
      </c>
    </row>
    <row r="397" spans="1:13" ht="15" thickBot="1" x14ac:dyDescent="0.35">
      <c r="A397" s="60">
        <v>45901</v>
      </c>
      <c r="B397" s="68" vm="257">
        <v>141283.01</v>
      </c>
      <c r="C397" s="68">
        <v>135507.62</v>
      </c>
      <c r="D397" s="68">
        <v>1.8180711599999999</v>
      </c>
      <c r="E397" s="79">
        <f t="shared" si="311"/>
        <v>-6.8211779741095269E-3</v>
      </c>
      <c r="F397" s="79">
        <f t="shared" si="312"/>
        <v>-9.8463990039476812E-4</v>
      </c>
      <c r="G397" s="79">
        <f t="shared" si="313"/>
        <v>1.7907209598240659E-2</v>
      </c>
      <c r="H397" s="79">
        <f t="shared" si="314"/>
        <v>0.1072901133122075</v>
      </c>
      <c r="I397" s="80" t="str">
        <f t="shared" si="315"/>
        <v>092025</v>
      </c>
      <c r="J397" s="79">
        <f t="shared" si="316"/>
        <v>-6.8211779741095269E-3</v>
      </c>
      <c r="K397" s="79">
        <f t="shared" si="317"/>
        <v>-9.8463990039476812E-4</v>
      </c>
      <c r="L397" s="81">
        <f t="shared" si="318"/>
        <v>101.79072095982411</v>
      </c>
      <c r="M397" s="82">
        <f t="shared" si="319"/>
        <v>110.72901133122075</v>
      </c>
    </row>
    <row r="398" spans="1:13" ht="15" thickBot="1" x14ac:dyDescent="0.35">
      <c r="A398" s="60">
        <v>45902</v>
      </c>
      <c r="B398" s="68" vm="258">
        <v>140335.16</v>
      </c>
      <c r="C398" s="68">
        <v>134330.68</v>
      </c>
      <c r="D398" s="68">
        <v>1.80228045</v>
      </c>
      <c r="E398" s="79">
        <f t="shared" si="311"/>
        <v>-8.6854191119779545E-3</v>
      </c>
      <c r="F398" s="79">
        <f t="shared" si="312"/>
        <v>-6.7088746198145088E-3</v>
      </c>
      <c r="G398" s="79">
        <f t="shared" si="313"/>
        <v>9.0662588657759446E-3</v>
      </c>
      <c r="H398" s="79">
        <f t="shared" si="314"/>
        <v>9.9861442774235476E-2</v>
      </c>
      <c r="I398" s="80" t="str">
        <f t="shared" si="315"/>
        <v>092025</v>
      </c>
      <c r="J398" s="79">
        <f t="shared" si="316"/>
        <v>-1.5447352296544925E-2</v>
      </c>
      <c r="K398" s="79">
        <f t="shared" si="317"/>
        <v>-7.6869086945718923E-3</v>
      </c>
      <c r="L398" s="81">
        <f t="shared" si="318"/>
        <v>100.90662588657764</v>
      </c>
      <c r="M398" s="82">
        <f t="shared" si="319"/>
        <v>109.98614427742356</v>
      </c>
    </row>
    <row r="399" spans="1:13" ht="15" thickBot="1" x14ac:dyDescent="0.35">
      <c r="A399" s="60">
        <v>45903</v>
      </c>
      <c r="B399" s="68" vm="259">
        <v>139863.63</v>
      </c>
      <c r="C399" s="68">
        <v>133945.67000000001</v>
      </c>
      <c r="D399" s="68">
        <v>1.7971148699999999</v>
      </c>
      <c r="E399" s="79">
        <f t="shared" si="311"/>
        <v>-2.8661355118179133E-3</v>
      </c>
      <c r="F399" s="79">
        <f t="shared" si="312"/>
        <v>-3.360027522682163E-3</v>
      </c>
      <c r="G399" s="79">
        <f t="shared" si="313"/>
        <v>6.1741382274635992E-3</v>
      </c>
      <c r="H399" s="79">
        <f t="shared" si="314"/>
        <v>9.6165878055377352E-2</v>
      </c>
      <c r="I399" s="80" t="str">
        <f t="shared" si="315"/>
        <v>092025</v>
      </c>
      <c r="J399" s="79">
        <f t="shared" si="316"/>
        <v>-1.8269213603382184E-2</v>
      </c>
      <c r="K399" s="79">
        <f t="shared" si="317"/>
        <v>-1.1021107992475909E-2</v>
      </c>
      <c r="L399" s="81">
        <f t="shared" si="318"/>
        <v>100.6174138227464</v>
      </c>
      <c r="M399" s="82">
        <f t="shared" si="319"/>
        <v>109.61658780553773</v>
      </c>
    </row>
    <row r="400" spans="1:13" ht="15" thickBot="1" x14ac:dyDescent="0.35">
      <c r="A400" s="60">
        <v>45904</v>
      </c>
      <c r="B400" s="68" vm="260">
        <v>140993.25</v>
      </c>
      <c r="C400" s="68">
        <v>134886.29999999999</v>
      </c>
      <c r="D400" s="68">
        <v>1.8097350699999999</v>
      </c>
      <c r="E400" s="79">
        <f t="shared" si="311"/>
        <v>7.0224782014072229E-3</v>
      </c>
      <c r="F400" s="79">
        <f t="shared" si="312"/>
        <v>8.0765814529482061E-3</v>
      </c>
      <c r="G400" s="79">
        <f t="shared" si="313"/>
        <v>1.3239974179985792E-2</v>
      </c>
      <c r="H400" s="79">
        <f t="shared" si="314"/>
        <v>0.10501915105543391</v>
      </c>
      <c r="I400" s="80" t="str">
        <f t="shared" si="315"/>
        <v>092025</v>
      </c>
      <c r="J400" s="79">
        <f t="shared" si="316"/>
        <v>-1.1375030556261545E-2</v>
      </c>
      <c r="K400" s="79">
        <f t="shared" si="317"/>
        <v>-3.0335394159306528E-3</v>
      </c>
      <c r="L400" s="81">
        <f t="shared" si="318"/>
        <v>101.32399741799861</v>
      </c>
      <c r="M400" s="82">
        <f t="shared" si="319"/>
        <v>110.5019151055434</v>
      </c>
    </row>
    <row r="401" spans="1:13" ht="15" thickBot="1" x14ac:dyDescent="0.35">
      <c r="A401" s="60">
        <v>45905</v>
      </c>
      <c r="B401" s="68" vm="261">
        <v>142640.14000000001</v>
      </c>
      <c r="C401" s="68">
        <v>136080.14000000001</v>
      </c>
      <c r="D401" s="68">
        <v>1.8257525100000001</v>
      </c>
      <c r="E401" s="79">
        <f t="shared" si="311"/>
        <v>8.8507098445078647E-3</v>
      </c>
      <c r="F401" s="79">
        <f t="shared" si="312"/>
        <v>1.1680630101086553E-2</v>
      </c>
      <c r="G401" s="79">
        <f t="shared" si="313"/>
        <v>2.2207867194309339E-2</v>
      </c>
      <c r="H401" s="79">
        <f t="shared" si="314"/>
        <v>0.11792647101352904</v>
      </c>
      <c r="I401" s="80" t="str">
        <f t="shared" si="315"/>
        <v>092025</v>
      </c>
      <c r="J401" s="79">
        <f t="shared" si="316"/>
        <v>-2.6249978066795743E-3</v>
      </c>
      <c r="K401" s="79">
        <f t="shared" si="317"/>
        <v>8.6116570333414355E-3</v>
      </c>
      <c r="L401" s="81">
        <f t="shared" si="318"/>
        <v>102.22078671943098</v>
      </c>
      <c r="M401" s="82">
        <f t="shared" si="319"/>
        <v>111.79264710135293</v>
      </c>
    </row>
    <row r="402" spans="1:13" ht="15" thickBot="1" x14ac:dyDescent="0.35">
      <c r="A402" s="60">
        <v>45908</v>
      </c>
      <c r="B402" s="68" vm="262">
        <v>141791.57999999999</v>
      </c>
      <c r="C402" s="68">
        <v>135751.81</v>
      </c>
      <c r="D402" s="68">
        <v>1.8213473899999999</v>
      </c>
      <c r="E402" s="79">
        <f t="shared" si="311"/>
        <v>-2.4127695160611751E-3</v>
      </c>
      <c r="F402" s="79">
        <f t="shared" si="312"/>
        <v>-5.9489565840304959E-3</v>
      </c>
      <c r="G402" s="79">
        <f t="shared" si="313"/>
        <v>1.9741515213265171E-2</v>
      </c>
      <c r="H402" s="79">
        <f t="shared" si="314"/>
        <v>0.11127597497333119</v>
      </c>
      <c r="I402" s="80" t="str">
        <f t="shared" si="315"/>
        <v>092025</v>
      </c>
      <c r="J402" s="79">
        <f t="shared" si="316"/>
        <v>-5.031433808053043E-3</v>
      </c>
      <c r="K402" s="79">
        <f t="shared" si="317"/>
        <v>2.6114700755031084E-3</v>
      </c>
      <c r="L402" s="81">
        <f t="shared" si="318"/>
        <v>101.97415152132655</v>
      </c>
      <c r="M402" s="82">
        <f t="shared" si="319"/>
        <v>111.12759749733314</v>
      </c>
    </row>
    <row r="403" spans="1:13" ht="15" thickBot="1" x14ac:dyDescent="0.35">
      <c r="A403" s="60">
        <v>45909</v>
      </c>
      <c r="B403" s="68" vm="263">
        <v>141618.29</v>
      </c>
      <c r="C403" s="68">
        <v>136378.5</v>
      </c>
      <c r="D403" s="68">
        <v>1.8297555299999999</v>
      </c>
      <c r="E403" s="79">
        <f t="shared" si="311"/>
        <v>4.6164394811030185E-3</v>
      </c>
      <c r="F403" s="79">
        <f t="shared" si="312"/>
        <v>-1.2221459130364876E-3</v>
      </c>
      <c r="G403" s="79">
        <f t="shared" si="313"/>
        <v>2.4449090204615498E-2</v>
      </c>
      <c r="H403" s="79">
        <f t="shared" si="314"/>
        <v>0.10991783358226193</v>
      </c>
      <c r="I403" s="80" t="str">
        <f t="shared" si="315"/>
        <v>092025</v>
      </c>
      <c r="J403" s="79">
        <f t="shared" si="316"/>
        <v>-4.3822163662809999E-4</v>
      </c>
      <c r="K403" s="79">
        <f t="shared" si="317"/>
        <v>1.386132564986875E-3</v>
      </c>
      <c r="L403" s="81">
        <f t="shared" si="318"/>
        <v>102.44490902046158</v>
      </c>
      <c r="M403" s="82">
        <f t="shared" si="319"/>
        <v>110.99178335822621</v>
      </c>
    </row>
    <row r="404" spans="1:13" ht="15" thickBot="1" x14ac:dyDescent="0.35">
      <c r="A404" s="60">
        <v>45910</v>
      </c>
      <c r="B404" s="68" vm="264">
        <v>142348.70000000001</v>
      </c>
      <c r="C404" s="68">
        <v>137006.34</v>
      </c>
      <c r="D404" s="68">
        <v>1.8381791000000001</v>
      </c>
      <c r="E404" s="79">
        <f t="shared" si="311"/>
        <v>4.603658719370074E-3</v>
      </c>
      <c r="F404" s="79">
        <f t="shared" si="312"/>
        <v>5.1575965223136233E-3</v>
      </c>
      <c r="G404" s="79">
        <f t="shared" si="313"/>
        <v>2.9165304191286712E-2</v>
      </c>
      <c r="H404" s="79">
        <f t="shared" si="314"/>
        <v>0.1156423419407997</v>
      </c>
      <c r="I404" s="80" t="str">
        <f t="shared" si="315"/>
        <v>092025</v>
      </c>
      <c r="J404" s="79">
        <f t="shared" si="316"/>
        <v>4.1634196598834272E-3</v>
      </c>
      <c r="K404" s="79">
        <f t="shared" si="317"/>
        <v>6.550878199797161E-3</v>
      </c>
      <c r="L404" s="81">
        <f t="shared" si="318"/>
        <v>102.9165304191287</v>
      </c>
      <c r="M404" s="82">
        <f t="shared" si="319"/>
        <v>111.56423419407999</v>
      </c>
    </row>
    <row r="405" spans="1:13" ht="15" thickBot="1" x14ac:dyDescent="0.35">
      <c r="A405" s="60">
        <v>45911</v>
      </c>
      <c r="B405" s="68" vm="265">
        <v>143150.84</v>
      </c>
      <c r="C405" s="68">
        <v>137841.59</v>
      </c>
      <c r="D405" s="68">
        <v>1.84938544</v>
      </c>
      <c r="E405" s="79">
        <f t="shared" si="311"/>
        <v>6.0964353255892334E-3</v>
      </c>
      <c r="F405" s="79">
        <f t="shared" si="312"/>
        <v>5.6350356554011327E-3</v>
      </c>
      <c r="G405" s="79">
        <f t="shared" si="313"/>
        <v>3.5439543907629378E-2</v>
      </c>
      <c r="H405" s="79">
        <f t="shared" si="314"/>
        <v>0.12192902631631131</v>
      </c>
      <c r="I405" s="80" t="str">
        <f t="shared" si="315"/>
        <v>092025</v>
      </c>
      <c r="J405" s="79">
        <f t="shared" si="316"/>
        <v>1.0285237004162395E-2</v>
      </c>
      <c r="K405" s="79">
        <f t="shared" si="317"/>
        <v>1.2222828287428378E-2</v>
      </c>
      <c r="L405" s="81">
        <f t="shared" si="318"/>
        <v>103.54395439076296</v>
      </c>
      <c r="M405" s="82">
        <f t="shared" si="319"/>
        <v>112.19290263163116</v>
      </c>
    </row>
    <row r="406" spans="1:13" ht="15" thickBot="1" x14ac:dyDescent="0.35">
      <c r="A406" s="60">
        <v>45912</v>
      </c>
      <c r="B406" s="68" vm="266">
        <v>142271.57999999999</v>
      </c>
      <c r="C406" s="68">
        <v>137622.79</v>
      </c>
      <c r="D406" s="68">
        <v>1.8464498499999999</v>
      </c>
      <c r="E406" s="79">
        <f t="shared" si="311"/>
        <v>-1.5873327087511102E-3</v>
      </c>
      <c r="F406" s="79">
        <f t="shared" si="312"/>
        <v>-6.1421923895103037E-3</v>
      </c>
      <c r="G406" s="79">
        <f t="shared" si="313"/>
        <v>3.3795956851650377E-2</v>
      </c>
      <c r="H406" s="79">
        <f t="shared" si="314"/>
        <v>0.11503792238930033</v>
      </c>
      <c r="I406" s="80" t="str">
        <f t="shared" si="315"/>
        <v>092025</v>
      </c>
      <c r="J406" s="79">
        <f t="shared" si="316"/>
        <v>8.6815782022973131E-3</v>
      </c>
      <c r="K406" s="79">
        <f t="shared" si="317"/>
        <v>6.0055609350326833E-3</v>
      </c>
      <c r="L406" s="81">
        <f t="shared" si="318"/>
        <v>103.37959568516507</v>
      </c>
      <c r="M406" s="82">
        <f t="shared" si="319"/>
        <v>111.50379223893007</v>
      </c>
    </row>
    <row r="407" spans="1:13" ht="15" thickBot="1" x14ac:dyDescent="0.35">
      <c r="A407" s="60">
        <v>45915</v>
      </c>
      <c r="B407" s="68" vm="267">
        <v>143546.57999999999</v>
      </c>
      <c r="C407" s="68">
        <v>138430.13</v>
      </c>
      <c r="D407" s="68">
        <v>1.85728173</v>
      </c>
      <c r="E407" s="79">
        <f t="shared" si="311"/>
        <v>5.8663277532287061E-3</v>
      </c>
      <c r="F407" s="79">
        <f t="shared" si="312"/>
        <v>8.9617336083567256E-3</v>
      </c>
      <c r="G407" s="79">
        <f t="shared" si="313"/>
        <v>3.9860542764504903E-2</v>
      </c>
      <c r="H407" s="79">
        <f t="shared" si="314"/>
        <v>0.12503059521296889</v>
      </c>
      <c r="I407" s="80" t="str">
        <f t="shared" si="315"/>
        <v>092025</v>
      </c>
      <c r="J407" s="79">
        <f t="shared" si="316"/>
        <v>1.4598834938676086E-2</v>
      </c>
      <c r="K407" s="79">
        <f t="shared" si="317"/>
        <v>1.5021114780657818E-2</v>
      </c>
      <c r="L407" s="81">
        <f t="shared" si="318"/>
        <v>103.98605427645052</v>
      </c>
      <c r="M407" s="82">
        <f t="shared" si="319"/>
        <v>112.50305952129692</v>
      </c>
    </row>
    <row r="408" spans="1:13" ht="15" thickBot="1" x14ac:dyDescent="0.35">
      <c r="A408" s="60">
        <v>45916</v>
      </c>
      <c r="B408" s="68" vm="268">
        <v>144061.74</v>
      </c>
      <c r="C408" s="68">
        <v>139008.28</v>
      </c>
      <c r="D408" s="68">
        <v>1.8583302500000001</v>
      </c>
      <c r="E408" s="79">
        <f t="shared" si="311"/>
        <v>5.6454547689988033E-4</v>
      </c>
      <c r="F408" s="79">
        <f t="shared" si="312"/>
        <v>3.5888002347390646E-3</v>
      </c>
      <c r="G408" s="79">
        <f t="shared" si="313"/>
        <v>4.0447591330529109E-2</v>
      </c>
      <c r="H408" s="79">
        <f t="shared" si="314"/>
        <v>0.12906810527715784</v>
      </c>
      <c r="I408" s="80" t="str">
        <f t="shared" si="315"/>
        <v>092025</v>
      </c>
      <c r="J408" s="79">
        <f t="shared" si="316"/>
        <v>1.5171622121808559E-2</v>
      </c>
      <c r="K408" s="79">
        <f t="shared" si="317"/>
        <v>1.8663822795647711E-2</v>
      </c>
      <c r="L408" s="81">
        <f t="shared" si="318"/>
        <v>104.04475913305295</v>
      </c>
      <c r="M408" s="82">
        <f t="shared" si="319"/>
        <v>112.90681052771581</v>
      </c>
    </row>
    <row r="409" spans="1:13" ht="15" thickBot="1" x14ac:dyDescent="0.35">
      <c r="A409" s="60">
        <v>45917</v>
      </c>
      <c r="B409" s="68" vm="269">
        <v>145593.63</v>
      </c>
      <c r="C409" s="68">
        <v>139783.51999999999</v>
      </c>
      <c r="D409" s="68">
        <v>1.8686940299999999</v>
      </c>
      <c r="E409" s="79">
        <f t="shared" si="311"/>
        <v>5.5769312262983206E-3</v>
      </c>
      <c r="F409" s="79">
        <f t="shared" si="312"/>
        <v>1.0633565858638283E-2</v>
      </c>
      <c r="G409" s="79">
        <f t="shared" si="313"/>
        <v>4.6250095991947182E-2</v>
      </c>
      <c r="H409" s="79">
        <f t="shared" si="314"/>
        <v>0.14107412533351038</v>
      </c>
      <c r="I409" s="80" t="str">
        <f t="shared" si="315"/>
        <v>092025</v>
      </c>
      <c r="J409" s="79">
        <f t="shared" si="316"/>
        <v>2.083316444127159E-2</v>
      </c>
      <c r="K409" s="79">
        <f t="shared" si="317"/>
        <v>2.9495851643157378E-2</v>
      </c>
      <c r="L409" s="81">
        <f t="shared" si="318"/>
        <v>104.62500959919475</v>
      </c>
      <c r="M409" s="82">
        <f t="shared" si="319"/>
        <v>114.10741253335107</v>
      </c>
    </row>
    <row r="410" spans="1:13" ht="15" thickBot="1" x14ac:dyDescent="0.35">
      <c r="A410" s="60">
        <v>45918</v>
      </c>
      <c r="B410" s="68" vm="270">
        <v>145499.49</v>
      </c>
      <c r="C410" s="68">
        <v>140095.87</v>
      </c>
      <c r="D410" s="68">
        <v>1.87286968</v>
      </c>
      <c r="E410" s="79">
        <f t="shared" si="311"/>
        <v>2.2345284637099727E-3</v>
      </c>
      <c r="F410" s="79">
        <f t="shared" si="312"/>
        <v>-6.4659422256330146E-4</v>
      </c>
      <c r="G410" s="79">
        <f t="shared" si="313"/>
        <v>4.8587971611600667E-2</v>
      </c>
      <c r="H410" s="79">
        <f t="shared" si="314"/>
        <v>0.14033631339655317</v>
      </c>
      <c r="I410" s="80" t="str">
        <f t="shared" si="315"/>
        <v>092025</v>
      </c>
      <c r="J410" s="79">
        <f t="shared" si="316"/>
        <v>2.3114245203914807E-2</v>
      </c>
      <c r="K410" s="79">
        <f t="shared" si="317"/>
        <v>2.8830185573331946E-2</v>
      </c>
      <c r="L410" s="81">
        <f t="shared" si="318"/>
        <v>104.85879716116008</v>
      </c>
      <c r="M410" s="82">
        <f t="shared" si="319"/>
        <v>114.03363133965536</v>
      </c>
    </row>
    <row r="411" spans="1:13" ht="15" thickBot="1" x14ac:dyDescent="0.35">
      <c r="A411" s="60">
        <v>45919</v>
      </c>
      <c r="B411" s="68" vm="271">
        <v>145865.10999999999</v>
      </c>
      <c r="C411" s="68">
        <v>140540.07999999999</v>
      </c>
      <c r="D411" s="68">
        <v>1.8788080899999999</v>
      </c>
      <c r="E411" s="79">
        <f t="shared" si="311"/>
        <v>3.1707545182748653E-3</v>
      </c>
      <c r="F411" s="79">
        <f t="shared" si="312"/>
        <v>2.5128610416433883E-3</v>
      </c>
      <c r="G411" s="79">
        <f t="shared" si="313"/>
        <v>5.1912786660396781E-2</v>
      </c>
      <c r="H411" s="79">
        <f t="shared" si="314"/>
        <v>0.14320182009285887</v>
      </c>
      <c r="I411" s="80" t="str">
        <f t="shared" si="315"/>
        <v>092025</v>
      </c>
      <c r="J411" s="79">
        <f t="shared" si="316"/>
        <v>2.6358289319606598E-2</v>
      </c>
      <c r="K411" s="79">
        <f t="shared" si="317"/>
        <v>3.1415492865126016E-2</v>
      </c>
      <c r="L411" s="81">
        <f t="shared" si="318"/>
        <v>105.19127866603969</v>
      </c>
      <c r="M411" s="82">
        <f t="shared" si="319"/>
        <v>114.3201820092859</v>
      </c>
    </row>
    <row r="412" spans="1:13" ht="15" thickBot="1" x14ac:dyDescent="0.35">
      <c r="A412" s="60">
        <v>45922</v>
      </c>
      <c r="B412" s="68" vm="272">
        <v>145109.25</v>
      </c>
      <c r="C412" s="68">
        <v>140173.35</v>
      </c>
      <c r="D412" s="68">
        <v>1.87390547</v>
      </c>
      <c r="E412" s="79">
        <f t="shared" si="311"/>
        <v>-2.6094309610940059E-3</v>
      </c>
      <c r="F412" s="79">
        <f t="shared" si="312"/>
        <v>-5.1819108764253885E-3</v>
      </c>
      <c r="G412" s="79">
        <f t="shared" si="313"/>
        <v>4.9167892866514462E-2</v>
      </c>
      <c r="H412" s="79">
        <f t="shared" si="314"/>
        <v>0.13727785014737037</v>
      </c>
      <c r="I412" s="80" t="str">
        <f t="shared" si="315"/>
        <v>092025</v>
      </c>
      <c r="J412" s="79">
        <f t="shared" si="316"/>
        <v>2.3680078222280576E-2</v>
      </c>
      <c r="K412" s="79">
        <f t="shared" si="317"/>
        <v>2.6070789704534469E-2</v>
      </c>
      <c r="L412" s="81">
        <f t="shared" si="318"/>
        <v>104.91678928665146</v>
      </c>
      <c r="M412" s="82">
        <f t="shared" si="319"/>
        <v>113.72778501473705</v>
      </c>
    </row>
    <row r="413" spans="1:13" ht="15" thickBot="1" x14ac:dyDescent="0.35">
      <c r="A413" s="60">
        <v>45923</v>
      </c>
      <c r="B413" s="68" vm="273">
        <v>146424.94</v>
      </c>
      <c r="C413" s="68">
        <v>141010.16</v>
      </c>
      <c r="D413" s="68">
        <v>1.8850923500000001</v>
      </c>
      <c r="E413" s="79">
        <f t="shared" si="311"/>
        <v>5.9698208789582541E-3</v>
      </c>
      <c r="F413" s="79">
        <f t="shared" si="312"/>
        <v>9.0668927032564461E-3</v>
      </c>
      <c r="G413" s="79">
        <f t="shared" si="313"/>
        <v>5.543123725888166E-2</v>
      </c>
      <c r="H413" s="79">
        <f t="shared" si="314"/>
        <v>0.14758942638844652</v>
      </c>
      <c r="I413" s="80" t="str">
        <f t="shared" si="315"/>
        <v>092025</v>
      </c>
      <c r="J413" s="79">
        <f t="shared" si="316"/>
        <v>2.9791264926625649E-2</v>
      </c>
      <c r="K413" s="79">
        <f t="shared" si="317"/>
        <v>3.5374063460731131E-2</v>
      </c>
      <c r="L413" s="81">
        <f t="shared" si="318"/>
        <v>105.54312372588818</v>
      </c>
      <c r="M413" s="82">
        <f t="shared" si="319"/>
        <v>114.75894263884469</v>
      </c>
    </row>
    <row r="414" spans="1:13" ht="15" thickBot="1" x14ac:dyDescent="0.35">
      <c r="A414" s="60">
        <v>45924</v>
      </c>
      <c r="B414" s="68" vm="274">
        <v>146491.75</v>
      </c>
      <c r="C414" s="68">
        <v>140889.26</v>
      </c>
      <c r="D414" s="68">
        <v>1.8834761</v>
      </c>
      <c r="E414" s="79">
        <f t="shared" si="311"/>
        <v>-8.5738505065813264E-4</v>
      </c>
      <c r="F414" s="79">
        <f t="shared" si="312"/>
        <v>4.5627473024745235E-4</v>
      </c>
      <c r="G414" s="79">
        <f t="shared" si="313"/>
        <v>5.4526326294058292E-2</v>
      </c>
      <c r="H414" s="79">
        <f t="shared" si="314"/>
        <v>0.14811304244440682</v>
      </c>
      <c r="I414" s="80" t="str">
        <f t="shared" si="315"/>
        <v>092025</v>
      </c>
      <c r="J414" s="79">
        <f t="shared" si="316"/>
        <v>2.890833729077924E-2</v>
      </c>
      <c r="K414" s="79">
        <f t="shared" si="317"/>
        <v>3.5846478482241872E-2</v>
      </c>
      <c r="L414" s="81">
        <f t="shared" si="318"/>
        <v>105.45263262940584</v>
      </c>
      <c r="M414" s="82">
        <f t="shared" si="319"/>
        <v>114.81130424444071</v>
      </c>
    </row>
    <row r="415" spans="1:13" ht="15" thickBot="1" x14ac:dyDescent="0.35">
      <c r="A415" s="60">
        <v>45925</v>
      </c>
      <c r="B415" s="68" vm="275">
        <v>145306.23000000001</v>
      </c>
      <c r="C415" s="68">
        <v>140090.26</v>
      </c>
      <c r="D415" s="68">
        <v>1.8727946799999999</v>
      </c>
      <c r="E415" s="79">
        <f t="shared" si="311"/>
        <v>-5.6711205414287091E-3</v>
      </c>
      <c r="F415" s="79">
        <f t="shared" si="312"/>
        <v>-8.0927424240613277E-3</v>
      </c>
      <c r="G415" s="79">
        <f t="shared" si="313"/>
        <v>4.8545980383534637E-2</v>
      </c>
      <c r="H415" s="79">
        <f t="shared" si="314"/>
        <v>0.13882165931819879</v>
      </c>
      <c r="I415" s="80" t="str">
        <f t="shared" si="315"/>
        <v>092025</v>
      </c>
      <c r="J415" s="79">
        <f t="shared" si="316"/>
        <v>2.3073274083922346E-2</v>
      </c>
      <c r="K415" s="79">
        <f t="shared" si="317"/>
        <v>2.7463639741014179E-2</v>
      </c>
      <c r="L415" s="81">
        <f t="shared" si="318"/>
        <v>104.85459803835349</v>
      </c>
      <c r="M415" s="82">
        <f t="shared" si="319"/>
        <v>113.88216593181991</v>
      </c>
    </row>
    <row r="416" spans="1:13" ht="15" thickBot="1" x14ac:dyDescent="0.35">
      <c r="A416" s="60">
        <v>45926</v>
      </c>
      <c r="B416" s="68" vm="276">
        <v>145446.66</v>
      </c>
      <c r="C416" s="68">
        <v>140223.20000000001</v>
      </c>
      <c r="D416" s="68">
        <v>1.8745718899999999</v>
      </c>
      <c r="E416" s="79">
        <f t="shared" si="311"/>
        <v>9.4896147398282338E-4</v>
      </c>
      <c r="F416" s="79">
        <f t="shared" si="312"/>
        <v>9.6644170040049993E-4</v>
      </c>
      <c r="G416" s="79">
        <f t="shared" si="313"/>
        <v>4.9541010122618134E-2</v>
      </c>
      <c r="H416" s="79">
        <f t="shared" si="314"/>
        <v>0.13992226405908315</v>
      </c>
      <c r="I416" s="80" t="str">
        <f t="shared" si="315"/>
        <v>092025</v>
      </c>
      <c r="J416" s="79">
        <f t="shared" si="316"/>
        <v>2.4044131206089503E-2</v>
      </c>
      <c r="K416" s="79">
        <f t="shared" si="317"/>
        <v>2.8456623448105178E-2</v>
      </c>
      <c r="L416" s="81">
        <f t="shared" si="318"/>
        <v>104.95410101226184</v>
      </c>
      <c r="M416" s="82">
        <f t="shared" si="319"/>
        <v>113.99222640590835</v>
      </c>
    </row>
    <row r="417" spans="1:13" ht="15" thickBot="1" x14ac:dyDescent="0.35">
      <c r="A417" s="60">
        <v>45929</v>
      </c>
      <c r="B417" s="68" vm="277">
        <v>146336.79999999999</v>
      </c>
      <c r="C417" s="68">
        <v>141169.71</v>
      </c>
      <c r="D417" s="68">
        <v>1.8872252899999999</v>
      </c>
      <c r="E417" s="79">
        <f t="shared" ref="E417:E480" si="320">D417/D416-1</f>
        <v>6.7500212008406724E-3</v>
      </c>
      <c r="F417" s="79">
        <f t="shared" ref="F417:F480" si="321">B417/B416-1</f>
        <v>6.120044282900583E-3</v>
      </c>
      <c r="G417" s="79">
        <f t="shared" ref="G417:G480" si="322">D417/$D$2-1</f>
        <v>5.6625434192097535E-2</v>
      </c>
      <c r="H417" s="79">
        <f t="shared" ref="H417:H480" si="323">B417/$B$2-1</f>
        <v>0.14689863879418907</v>
      </c>
      <c r="I417" s="80" t="str">
        <f t="shared" ref="I417:I480" si="324">TEXT(A417,"mmaaaa")</f>
        <v>092025</v>
      </c>
      <c r="J417" s="79">
        <f t="shared" ref="J417:J480" si="325">IF(I417=I416,(1+E417)*(1+J416)-1,E417)</f>
        <v>3.0956450802327007E-2</v>
      </c>
      <c r="K417" s="79">
        <f t="shared" ref="K417:K480" si="326">IF(I417=I416,(1+F417)*(1+K416)-1,F417)</f>
        <v>3.4750823526650043E-2</v>
      </c>
      <c r="L417" s="81">
        <f t="shared" ref="L417:L480" si="327">L416*(1+E417)</f>
        <v>105.66254341920978</v>
      </c>
      <c r="M417" s="82">
        <f t="shared" ref="M417:M480" si="328">M416*(1+F417)</f>
        <v>114.68986387941894</v>
      </c>
    </row>
    <row r="418" spans="1:13" ht="15" thickBot="1" x14ac:dyDescent="0.35">
      <c r="A418" s="60">
        <v>45930</v>
      </c>
      <c r="B418" s="68" vm="278">
        <v>146237.01999999999</v>
      </c>
      <c r="C418" s="68">
        <v>140731.46</v>
      </c>
      <c r="D418" s="68">
        <v>1.8813665500000001</v>
      </c>
      <c r="E418" s="79">
        <f t="shared" si="320"/>
        <v>-3.1044200345576867E-3</v>
      </c>
      <c r="F418" s="79">
        <f t="shared" si="321"/>
        <v>-6.8185172834178687E-4</v>
      </c>
      <c r="G418" s="79">
        <f t="shared" si="322"/>
        <v>5.3345225025168475E-2</v>
      </c>
      <c r="H418" s="79">
        <f t="shared" si="323"/>
        <v>0.14611662397509462</v>
      </c>
      <c r="I418" s="80" t="str">
        <f t="shared" si="324"/>
        <v>092025</v>
      </c>
      <c r="J418" s="79">
        <f t="shared" si="325"/>
        <v>2.7755928941699759E-2</v>
      </c>
      <c r="K418" s="79">
        <f t="shared" si="326"/>
        <v>3.4045276889225207E-2</v>
      </c>
      <c r="L418" s="81">
        <f t="shared" si="327"/>
        <v>105.33452250251686</v>
      </c>
      <c r="M418" s="82">
        <f t="shared" si="328"/>
        <v>114.61166239750948</v>
      </c>
    </row>
    <row r="419" spans="1:13" ht="15" thickBot="1" x14ac:dyDescent="0.35">
      <c r="A419" s="60">
        <v>45931</v>
      </c>
      <c r="B419" s="68" vm="279">
        <v>145517.35</v>
      </c>
      <c r="C419" s="68">
        <v>140730.26</v>
      </c>
      <c r="D419" s="68">
        <v>1.8813505100000001</v>
      </c>
      <c r="E419" s="79">
        <f t="shared" si="320"/>
        <v>-8.5257176491992936E-6</v>
      </c>
      <c r="F419" s="79">
        <f t="shared" si="321"/>
        <v>-4.9212572849199887E-3</v>
      </c>
      <c r="G419" s="79">
        <f t="shared" si="322"/>
        <v>5.3336244501192676E-2</v>
      </c>
      <c r="H419" s="79">
        <f t="shared" si="323"/>
        <v>0.14047628918998933</v>
      </c>
      <c r="I419" s="80" t="str">
        <f t="shared" si="324"/>
        <v>102025</v>
      </c>
      <c r="J419" s="79">
        <f t="shared" si="325"/>
        <v>-8.5257176491992936E-6</v>
      </c>
      <c r="K419" s="79">
        <f t="shared" si="326"/>
        <v>-4.9212572849199887E-3</v>
      </c>
      <c r="L419" s="81">
        <f t="shared" si="327"/>
        <v>105.33362445011929</v>
      </c>
      <c r="M419" s="82">
        <f t="shared" si="328"/>
        <v>114.04762891899894</v>
      </c>
    </row>
    <row r="420" spans="1:13" ht="15" thickBot="1" x14ac:dyDescent="0.35">
      <c r="A420" s="60">
        <v>45932</v>
      </c>
      <c r="B420" s="68" vm="280">
        <v>143949.64000000001</v>
      </c>
      <c r="C420" s="68">
        <v>140040.44</v>
      </c>
      <c r="D420" s="68">
        <v>1.87212866</v>
      </c>
      <c r="E420" s="79">
        <f t="shared" si="320"/>
        <v>-4.9017181811591426E-3</v>
      </c>
      <c r="F420" s="79">
        <f t="shared" si="321"/>
        <v>-1.0773354517519707E-2</v>
      </c>
      <c r="G420" s="79">
        <f t="shared" si="322"/>
        <v>4.8173087080647381E-2</v>
      </c>
      <c r="H420" s="79">
        <f t="shared" si="323"/>
        <v>0.12818953380772014</v>
      </c>
      <c r="I420" s="80" t="str">
        <f t="shared" si="324"/>
        <v>102025</v>
      </c>
      <c r="J420" s="79">
        <f t="shared" si="325"/>
        <v>-4.9102021081430802E-3</v>
      </c>
      <c r="K420" s="79">
        <f t="shared" si="326"/>
        <v>-1.5641593353037275E-2</v>
      </c>
      <c r="L420" s="81">
        <f t="shared" si="327"/>
        <v>104.81730870806474</v>
      </c>
      <c r="M420" s="82">
        <f t="shared" si="328"/>
        <v>112.81895338077203</v>
      </c>
    </row>
    <row r="421" spans="1:13" ht="15" thickBot="1" x14ac:dyDescent="0.35">
      <c r="A421" s="60">
        <v>45933</v>
      </c>
      <c r="B421" s="68" vm="281">
        <v>144200.65</v>
      </c>
      <c r="C421" s="68">
        <v>140283.14000000001</v>
      </c>
      <c r="D421" s="68">
        <v>1.8753732000000001</v>
      </c>
      <c r="E421" s="79">
        <f t="shared" si="320"/>
        <v>1.7330753325468518E-3</v>
      </c>
      <c r="F421" s="79">
        <f t="shared" si="321"/>
        <v>1.743734822817089E-3</v>
      </c>
      <c r="G421" s="79">
        <f t="shared" si="322"/>
        <v>4.9989650002106201E-2</v>
      </c>
      <c r="H421" s="79">
        <f t="shared" si="323"/>
        <v>0.13015679718455853</v>
      </c>
      <c r="I421" s="80" t="str">
        <f t="shared" si="324"/>
        <v>102025</v>
      </c>
      <c r="J421" s="79">
        <f t="shared" si="325"/>
        <v>-3.1856365257476593E-3</v>
      </c>
      <c r="K421" s="79">
        <f t="shared" si="326"/>
        <v>-1.392513332123424E-2</v>
      </c>
      <c r="L421" s="81">
        <f t="shared" si="327"/>
        <v>104.99896500021065</v>
      </c>
      <c r="M421" s="82">
        <f t="shared" si="328"/>
        <v>113.01567971845586</v>
      </c>
    </row>
    <row r="422" spans="1:13" ht="15" thickBot="1" x14ac:dyDescent="0.35">
      <c r="A422" s="60">
        <v>45936</v>
      </c>
      <c r="B422" s="68" vm="282">
        <v>143608.07999999999</v>
      </c>
      <c r="C422" s="68">
        <v>140720.26999999999</v>
      </c>
      <c r="D422" s="68">
        <v>1.8745327199999999</v>
      </c>
      <c r="E422" s="79">
        <f t="shared" si="320"/>
        <v>-4.4816679688086669E-4</v>
      </c>
      <c r="F422" s="79">
        <f t="shared" si="321"/>
        <v>-4.1093434738331824E-3</v>
      </c>
      <c r="G422" s="79">
        <f t="shared" si="322"/>
        <v>4.9519079503906882E-2</v>
      </c>
      <c r="H422" s="79">
        <f t="shared" si="323"/>
        <v>0.12551259472563991</v>
      </c>
      <c r="I422" s="80" t="str">
        <f t="shared" si="324"/>
        <v>102025</v>
      </c>
      <c r="J422" s="79">
        <f t="shared" si="325"/>
        <v>-3.6323756261107398E-3</v>
      </c>
      <c r="K422" s="79">
        <f t="shared" si="326"/>
        <v>-1.7977253639331559E-2</v>
      </c>
      <c r="L422" s="81">
        <f t="shared" si="327"/>
        <v>104.95190795039069</v>
      </c>
      <c r="M422" s="82">
        <f t="shared" si="328"/>
        <v>112.551259472564</v>
      </c>
    </row>
    <row r="423" spans="1:13" ht="15" thickBot="1" x14ac:dyDescent="0.35">
      <c r="A423" s="60">
        <v>45937</v>
      </c>
      <c r="B423" s="68" vm="283">
        <v>141356.43</v>
      </c>
      <c r="C423" s="68">
        <v>139217.57999999999</v>
      </c>
      <c r="D423" s="68">
        <v>1.8545154100000001</v>
      </c>
      <c r="E423" s="79">
        <f t="shared" si="320"/>
        <v>-1.0678559934659271E-2</v>
      </c>
      <c r="F423" s="79">
        <f t="shared" si="321"/>
        <v>-1.5679131703452809E-2</v>
      </c>
      <c r="G423" s="79">
        <f t="shared" si="322"/>
        <v>3.8311727110855953E-2</v>
      </c>
      <c r="H423" s="79">
        <f t="shared" si="323"/>
        <v>0.10786553451904157</v>
      </c>
      <c r="I423" s="80" t="str">
        <f t="shared" si="324"/>
        <v>102025</v>
      </c>
      <c r="J423" s="79">
        <f t="shared" si="325"/>
        <v>-1.4272147019941395E-2</v>
      </c>
      <c r="K423" s="79">
        <f t="shared" si="326"/>
        <v>-3.3374517615306964E-2</v>
      </c>
      <c r="L423" s="81">
        <f t="shared" si="327"/>
        <v>103.8311727110856</v>
      </c>
      <c r="M423" s="82">
        <f t="shared" si="328"/>
        <v>110.78655345190418</v>
      </c>
    </row>
    <row r="424" spans="1:13" ht="15" thickBot="1" x14ac:dyDescent="0.35">
      <c r="A424" s="60">
        <v>45938</v>
      </c>
      <c r="B424" s="68" vm="284">
        <v>142145.38</v>
      </c>
      <c r="C424" s="68">
        <v>140059.48000000001</v>
      </c>
      <c r="D424" s="68">
        <v>1.86573034</v>
      </c>
      <c r="E424" s="79">
        <f t="shared" si="320"/>
        <v>6.0473641467342354E-3</v>
      </c>
      <c r="F424" s="79">
        <f t="shared" si="321"/>
        <v>5.5812813042888099E-3</v>
      </c>
      <c r="G424" s="79">
        <f t="shared" si="322"/>
        <v>4.4590776222519724E-2</v>
      </c>
      <c r="H424" s="79">
        <f t="shared" si="323"/>
        <v>0.11404884371451862</v>
      </c>
      <c r="I424" s="80" t="str">
        <f t="shared" si="324"/>
        <v>102025</v>
      </c>
      <c r="J424" s="79">
        <f t="shared" si="325"/>
        <v>-8.3110917433925069E-3</v>
      </c>
      <c r="K424" s="79">
        <f t="shared" si="326"/>
        <v>-2.7979508882224113E-2</v>
      </c>
      <c r="L424" s="81">
        <f t="shared" si="327"/>
        <v>104.45907762225198</v>
      </c>
      <c r="M424" s="82">
        <f t="shared" si="328"/>
        <v>111.40488437145189</v>
      </c>
    </row>
    <row r="425" spans="1:13" ht="15" thickBot="1" x14ac:dyDescent="0.35">
      <c r="A425" s="60">
        <v>45939</v>
      </c>
      <c r="B425" s="68" vm="285">
        <v>141708.19</v>
      </c>
      <c r="C425" s="68">
        <v>140440.37</v>
      </c>
      <c r="D425" s="68">
        <v>1.87080417</v>
      </c>
      <c r="E425" s="79">
        <f t="shared" si="320"/>
        <v>2.7194873188371993E-3</v>
      </c>
      <c r="F425" s="79">
        <f t="shared" si="321"/>
        <v>-3.0756539537197813E-3</v>
      </c>
      <c r="G425" s="79">
        <f t="shared" si="322"/>
        <v>4.7431527591831335E-2</v>
      </c>
      <c r="H425" s="79">
        <f t="shared" si="323"/>
        <v>0.11062241498371117</v>
      </c>
      <c r="I425" s="80" t="str">
        <f t="shared" si="324"/>
        <v>102025</v>
      </c>
      <c r="J425" s="79">
        <f t="shared" si="325"/>
        <v>-5.6142063331571235E-3</v>
      </c>
      <c r="K425" s="79">
        <f t="shared" si="326"/>
        <v>-3.0969107548827091E-2</v>
      </c>
      <c r="L425" s="81">
        <f t="shared" si="327"/>
        <v>104.74315275918313</v>
      </c>
      <c r="M425" s="82">
        <f t="shared" si="328"/>
        <v>111.06224149837114</v>
      </c>
    </row>
    <row r="426" spans="1:13" ht="15" thickBot="1" x14ac:dyDescent="0.35">
      <c r="A426" s="60">
        <v>45940</v>
      </c>
      <c r="B426" s="68" vm="286">
        <v>140680.34</v>
      </c>
      <c r="C426" s="68">
        <v>139163.42000000001</v>
      </c>
      <c r="D426" s="68">
        <v>1.8537939400000001</v>
      </c>
      <c r="E426" s="79">
        <f t="shared" si="320"/>
        <v>-9.0924695768664909E-3</v>
      </c>
      <c r="F426" s="79">
        <f t="shared" si="321"/>
        <v>-7.2532857839762155E-3</v>
      </c>
      <c r="G426" s="79">
        <f t="shared" si="322"/>
        <v>3.7907788293351841E-2</v>
      </c>
      <c r="H426" s="79">
        <f t="shared" si="323"/>
        <v>0.10256675320974451</v>
      </c>
      <c r="I426" s="80" t="str">
        <f t="shared" si="324"/>
        <v>102025</v>
      </c>
      <c r="J426" s="79">
        <f t="shared" si="325"/>
        <v>-1.4655628909741147E-2</v>
      </c>
      <c r="K426" s="79">
        <f t="shared" si="326"/>
        <v>-3.7997765545277007E-2</v>
      </c>
      <c r="L426" s="81">
        <f t="shared" si="327"/>
        <v>103.79077882933518</v>
      </c>
      <c r="M426" s="82">
        <f t="shared" si="328"/>
        <v>110.25667532097447</v>
      </c>
    </row>
    <row r="427" spans="1:13" ht="15" thickBot="1" x14ac:dyDescent="0.35">
      <c r="A427" s="60">
        <v>45943</v>
      </c>
      <c r="B427" s="68" vm="287">
        <v>141783.35999999999</v>
      </c>
      <c r="C427" s="68">
        <v>140329.89000000001</v>
      </c>
      <c r="D427" s="68">
        <v>1.86933247</v>
      </c>
      <c r="E427" s="79">
        <f t="shared" si="320"/>
        <v>8.3820157487406455E-3</v>
      </c>
      <c r="F427" s="79">
        <f t="shared" si="321"/>
        <v>7.8406122703427172E-3</v>
      </c>
      <c r="G427" s="79">
        <f t="shared" si="322"/>
        <v>4.6607547720567188E-2</v>
      </c>
      <c r="H427" s="79">
        <f t="shared" si="323"/>
        <v>0.11121155162383278</v>
      </c>
      <c r="I427" s="80" t="str">
        <f t="shared" si="324"/>
        <v>102025</v>
      </c>
      <c r="J427" s="79">
        <f t="shared" si="325"/>
        <v>-6.3964568733296812E-3</v>
      </c>
      <c r="K427" s="79">
        <f t="shared" si="326"/>
        <v>-3.0455079021714182E-2</v>
      </c>
      <c r="L427" s="81">
        <f t="shared" si="327"/>
        <v>104.66075477205672</v>
      </c>
      <c r="M427" s="82">
        <f t="shared" si="328"/>
        <v>111.12115516238329</v>
      </c>
    </row>
    <row r="428" spans="1:13" ht="15" thickBot="1" x14ac:dyDescent="0.35">
      <c r="A428" s="60">
        <v>45944</v>
      </c>
      <c r="B428" s="68" vm="288">
        <v>141682.99</v>
      </c>
      <c r="C428" s="68">
        <v>138501.25</v>
      </c>
      <c r="D428" s="68">
        <v>1.84497318</v>
      </c>
      <c r="E428" s="79">
        <f t="shared" si="320"/>
        <v>-1.3031009941211757E-2</v>
      </c>
      <c r="F428" s="79">
        <f t="shared" si="321"/>
        <v>-7.0791099886469144E-4</v>
      </c>
      <c r="G428" s="79">
        <f t="shared" si="322"/>
        <v>3.2969194361673226E-2</v>
      </c>
      <c r="H428" s="79">
        <f t="shared" si="323"/>
        <v>0.11042491274437261</v>
      </c>
      <c r="I428" s="80" t="str">
        <f t="shared" si="324"/>
        <v>102025</v>
      </c>
      <c r="J428" s="79">
        <f t="shared" si="325"/>
        <v>-1.9344114521436584E-2</v>
      </c>
      <c r="K428" s="79">
        <f t="shared" si="326"/>
        <v>-3.1141430535168158E-2</v>
      </c>
      <c r="L428" s="81">
        <f t="shared" si="327"/>
        <v>103.29691943616733</v>
      </c>
      <c r="M428" s="82">
        <f t="shared" si="328"/>
        <v>111.04249127443728</v>
      </c>
    </row>
    <row r="429" spans="1:13" ht="15" thickBot="1" x14ac:dyDescent="0.35">
      <c r="A429" s="60">
        <v>45945</v>
      </c>
      <c r="B429" s="68" vm="289">
        <v>142603.66</v>
      </c>
      <c r="C429" s="68">
        <v>138938.82999999999</v>
      </c>
      <c r="D429" s="68">
        <v>1.8508021800000001</v>
      </c>
      <c r="E429" s="79">
        <f t="shared" si="320"/>
        <v>3.1593955203186308E-3</v>
      </c>
      <c r="F429" s="79">
        <f t="shared" si="321"/>
        <v>6.4980983250002566E-3</v>
      </c>
      <c r="G429" s="79">
        <f t="shared" si="322"/>
        <v>3.6232752606966567E-2</v>
      </c>
      <c r="H429" s="79">
        <f t="shared" si="323"/>
        <v>0.11764056300991532</v>
      </c>
      <c r="I429" s="80" t="str">
        <f t="shared" si="324"/>
        <v>102025</v>
      </c>
      <c r="J429" s="79">
        <f t="shared" si="325"/>
        <v>-1.6245834709881501E-2</v>
      </c>
      <c r="K429" s="79">
        <f t="shared" si="326"/>
        <v>-2.4845692287766563E-2</v>
      </c>
      <c r="L429" s="81">
        <f t="shared" si="327"/>
        <v>103.62327526069667</v>
      </c>
      <c r="M429" s="82">
        <f t="shared" si="328"/>
        <v>111.76405630099156</v>
      </c>
    </row>
    <row r="430" spans="1:13" ht="15" thickBot="1" x14ac:dyDescent="0.35">
      <c r="A430" s="60">
        <v>45946</v>
      </c>
      <c r="B430" s="68" vm="290">
        <v>142200.01999999999</v>
      </c>
      <c r="C430" s="68">
        <v>138310.88</v>
      </c>
      <c r="D430" s="68">
        <v>1.84243727</v>
      </c>
      <c r="E430" s="79">
        <f t="shared" si="320"/>
        <v>-4.5196132198201955E-3</v>
      </c>
      <c r="F430" s="79">
        <f t="shared" si="321"/>
        <v>-2.830502386825251E-3</v>
      </c>
      <c r="G430" s="79">
        <f t="shared" si="322"/>
        <v>3.1549381359473605E-2</v>
      </c>
      <c r="H430" s="79">
        <f t="shared" si="323"/>
        <v>0.11447707872870305</v>
      </c>
      <c r="I430" s="80" t="str">
        <f t="shared" si="324"/>
        <v>102025</v>
      </c>
      <c r="J430" s="79">
        <f t="shared" si="325"/>
        <v>-2.069202304037987E-2</v>
      </c>
      <c r="K430" s="79">
        <f t="shared" si="326"/>
        <v>-2.7605868883268991E-2</v>
      </c>
      <c r="L430" s="81">
        <f t="shared" si="327"/>
        <v>103.15493813594736</v>
      </c>
      <c r="M430" s="82">
        <f t="shared" si="328"/>
        <v>111.44770787287032</v>
      </c>
    </row>
    <row r="431" spans="1:13" ht="15" thickBot="1" x14ac:dyDescent="0.35">
      <c r="A431" s="60">
        <v>45947</v>
      </c>
      <c r="B431" s="68" vm="291">
        <v>143398.63</v>
      </c>
      <c r="C431" s="68">
        <v>140076.94</v>
      </c>
      <c r="D431" s="68">
        <v>1.86596293</v>
      </c>
      <c r="E431" s="79">
        <f t="shared" si="320"/>
        <v>1.2768771226604692E-2</v>
      </c>
      <c r="F431" s="79">
        <f t="shared" si="321"/>
        <v>8.4290424150432752E-3</v>
      </c>
      <c r="G431" s="79">
        <f t="shared" si="322"/>
        <v>4.4720999418998097E-2</v>
      </c>
      <c r="H431" s="79">
        <f t="shared" si="323"/>
        <v>0.12387105329590087</v>
      </c>
      <c r="I431" s="80" t="str">
        <f t="shared" si="324"/>
        <v>102025</v>
      </c>
      <c r="J431" s="79">
        <f t="shared" si="325"/>
        <v>-8.1874635221934611E-3</v>
      </c>
      <c r="K431" s="79">
        <f t="shared" si="326"/>
        <v>-1.940951750794695E-2</v>
      </c>
      <c r="L431" s="81">
        <f t="shared" si="327"/>
        <v>104.47209994189983</v>
      </c>
      <c r="M431" s="82">
        <f t="shared" si="328"/>
        <v>112.3871053295901</v>
      </c>
    </row>
    <row r="432" spans="1:13" ht="15" thickBot="1" x14ac:dyDescent="0.35">
      <c r="A432" s="60">
        <v>45950</v>
      </c>
      <c r="B432" s="68" vm="292">
        <v>144509.32</v>
      </c>
      <c r="C432" s="68">
        <v>139933.12</v>
      </c>
      <c r="D432" s="68">
        <v>1.8640471000000001</v>
      </c>
      <c r="E432" s="79">
        <f t="shared" si="320"/>
        <v>-1.0267245769989275E-3</v>
      </c>
      <c r="F432" s="79">
        <f t="shared" si="321"/>
        <v>7.7454714874194419E-3</v>
      </c>
      <c r="G432" s="79">
        <f t="shared" si="322"/>
        <v>4.3648358692787825E-2</v>
      </c>
      <c r="H432" s="79">
        <f t="shared" si="323"/>
        <v>0.13257596449474041</v>
      </c>
      <c r="I432" s="80" t="str">
        <f t="shared" si="324"/>
        <v>102025</v>
      </c>
      <c r="J432" s="79">
        <f t="shared" si="325"/>
        <v>-9.2057818291708671E-3</v>
      </c>
      <c r="K432" s="79">
        <f t="shared" si="326"/>
        <v>-1.181438188496986E-2</v>
      </c>
      <c r="L432" s="81">
        <f t="shared" si="327"/>
        <v>104.36483586927879</v>
      </c>
      <c r="M432" s="82">
        <f t="shared" si="328"/>
        <v>113.25759644947405</v>
      </c>
    </row>
    <row r="433" spans="1:13" ht="15" thickBot="1" x14ac:dyDescent="0.35">
      <c r="A433" s="60">
        <v>45951</v>
      </c>
      <c r="B433" s="68" vm="293">
        <v>144085.15</v>
      </c>
      <c r="C433" s="68">
        <v>139917.26</v>
      </c>
      <c r="D433" s="68">
        <v>1.86383583</v>
      </c>
      <c r="E433" s="79">
        <f t="shared" si="320"/>
        <v>-1.1333941079072485E-4</v>
      </c>
      <c r="F433" s="79">
        <f t="shared" si="321"/>
        <v>-2.9352432078429969E-3</v>
      </c>
      <c r="G433" s="79">
        <f t="shared" si="322"/>
        <v>4.3530072202740966E-2</v>
      </c>
      <c r="H433" s="79">
        <f t="shared" si="323"/>
        <v>0.12925157858759095</v>
      </c>
      <c r="I433" s="80" t="str">
        <f t="shared" si="324"/>
        <v>102025</v>
      </c>
      <c r="J433" s="79">
        <f t="shared" si="325"/>
        <v>-9.3180778620731708E-3</v>
      </c>
      <c r="K433" s="79">
        <f t="shared" si="326"/>
        <v>-1.4714947008630186E-2</v>
      </c>
      <c r="L433" s="81">
        <f t="shared" si="327"/>
        <v>104.35300722027409</v>
      </c>
      <c r="M433" s="82">
        <f t="shared" si="328"/>
        <v>112.92515785875911</v>
      </c>
    </row>
    <row r="434" spans="1:13" ht="15" thickBot="1" x14ac:dyDescent="0.35">
      <c r="A434" s="60">
        <v>45952</v>
      </c>
      <c r="B434" s="68" vm="294">
        <v>144872.79</v>
      </c>
      <c r="C434" s="68">
        <v>141208.63</v>
      </c>
      <c r="D434" s="68">
        <v>1.8810381599999999</v>
      </c>
      <c r="E434" s="79">
        <f t="shared" si="320"/>
        <v>9.2295306931620136E-3</v>
      </c>
      <c r="F434" s="79">
        <f t="shared" si="321"/>
        <v>5.4664897805223323E-3</v>
      </c>
      <c r="G434" s="79">
        <f t="shared" si="322"/>
        <v>5.3161365033373542E-2</v>
      </c>
      <c r="H434" s="79">
        <f t="shared" si="323"/>
        <v>0.13542462080157858</v>
      </c>
      <c r="I434" s="80" t="str">
        <f t="shared" si="324"/>
        <v>102025</v>
      </c>
      <c r="J434" s="79">
        <f t="shared" si="325"/>
        <v>-1.7454865454047397E-4</v>
      </c>
      <c r="K434" s="79">
        <f t="shared" si="326"/>
        <v>-9.3288963355514509E-3</v>
      </c>
      <c r="L434" s="81">
        <f t="shared" si="327"/>
        <v>105.31613650333738</v>
      </c>
      <c r="M434" s="82">
        <f t="shared" si="328"/>
        <v>113.54246208015789</v>
      </c>
    </row>
    <row r="435" spans="1:13" ht="15" thickBot="1" x14ac:dyDescent="0.35">
      <c r="A435" s="60">
        <v>45953</v>
      </c>
      <c r="B435" s="68" vm="295">
        <v>145720.98000000001</v>
      </c>
      <c r="C435" s="68">
        <v>141893.45000000001</v>
      </c>
      <c r="D435" s="68">
        <v>1.89016063</v>
      </c>
      <c r="E435" s="79">
        <f t="shared" si="320"/>
        <v>4.8496995935478626E-3</v>
      </c>
      <c r="F435" s="79">
        <f t="shared" si="321"/>
        <v>5.8547226156133725E-3</v>
      </c>
      <c r="G435" s="79">
        <f t="shared" si="322"/>
        <v>5.826888127731622E-2</v>
      </c>
      <c r="H435" s="79">
        <f t="shared" si="323"/>
        <v>0.14207221700730965</v>
      </c>
      <c r="I435" s="80" t="str">
        <f t="shared" si="324"/>
        <v>102025</v>
      </c>
      <c r="J435" s="79">
        <f t="shared" si="325"/>
        <v>4.6743044304684567E-3</v>
      </c>
      <c r="K435" s="79">
        <f t="shared" si="326"/>
        <v>-3.5287918202925317E-3</v>
      </c>
      <c r="L435" s="81">
        <f t="shared" si="327"/>
        <v>105.82688812773164</v>
      </c>
      <c r="M435" s="82">
        <f t="shared" si="328"/>
        <v>114.20722170073101</v>
      </c>
    </row>
    <row r="436" spans="1:13" ht="15" thickBot="1" x14ac:dyDescent="0.35">
      <c r="A436" s="60">
        <v>45954</v>
      </c>
      <c r="B436" s="68" vm="296">
        <v>146172.21</v>
      </c>
      <c r="C436" s="68">
        <v>142061.9</v>
      </c>
      <c r="D436" s="68">
        <v>1.89240455</v>
      </c>
      <c r="E436" s="79">
        <f t="shared" si="320"/>
        <v>1.1871583633609184E-3</v>
      </c>
      <c r="F436" s="79">
        <f t="shared" si="321"/>
        <v>3.0965342121633821E-3</v>
      </c>
      <c r="G436" s="79">
        <f t="shared" si="322"/>
        <v>5.9525214030409224E-2</v>
      </c>
      <c r="H436" s="79">
        <f t="shared" si="323"/>
        <v>0.14560868270003424</v>
      </c>
      <c r="I436" s="80" t="str">
        <f t="shared" si="324"/>
        <v>102025</v>
      </c>
      <c r="J436" s="79">
        <f t="shared" si="325"/>
        <v>5.8670119334269799E-3</v>
      </c>
      <c r="K436" s="79">
        <f t="shared" si="326"/>
        <v>-4.4318463272829955E-4</v>
      </c>
      <c r="L436" s="81">
        <f t="shared" si="327"/>
        <v>105.95252140304093</v>
      </c>
      <c r="M436" s="82">
        <f t="shared" si="328"/>
        <v>114.56086827000345</v>
      </c>
    </row>
    <row r="437" spans="1:13" ht="15" thickBot="1" x14ac:dyDescent="0.35">
      <c r="A437" s="60">
        <v>45957</v>
      </c>
      <c r="B437" s="68" vm="297">
        <v>146969.1</v>
      </c>
      <c r="C437" s="68">
        <v>143175.89000000001</v>
      </c>
      <c r="D437" s="68">
        <v>1.9072439999999999</v>
      </c>
      <c r="E437" s="79">
        <f t="shared" si="320"/>
        <v>7.8415844011789915E-3</v>
      </c>
      <c r="F437" s="79">
        <f t="shared" si="321"/>
        <v>5.4517202688528776E-3</v>
      </c>
      <c r="G437" s="79">
        <f t="shared" si="322"/>
        <v>6.7833570421405698E-2</v>
      </c>
      <c r="H437" s="79">
        <f t="shared" si="323"/>
        <v>0.15185422077568367</v>
      </c>
      <c r="I437" s="80" t="str">
        <f t="shared" si="324"/>
        <v>102025</v>
      </c>
      <c r="J437" s="79">
        <f t="shared" si="325"/>
        <v>1.3754603003864663E-2</v>
      </c>
      <c r="K437" s="79">
        <f t="shared" si="326"/>
        <v>5.0061195174795348E-3</v>
      </c>
      <c r="L437" s="81">
        <f t="shared" si="327"/>
        <v>106.78335704214061</v>
      </c>
      <c r="M437" s="82">
        <f t="shared" si="328"/>
        <v>115.18542207756842</v>
      </c>
    </row>
    <row r="438" spans="1:13" ht="15" thickBot="1" x14ac:dyDescent="0.35">
      <c r="A438" s="60">
        <v>45958</v>
      </c>
      <c r="B438" s="68" vm="298">
        <v>147428.9</v>
      </c>
      <c r="C438" s="68">
        <v>142694.51999999999</v>
      </c>
      <c r="D438" s="68">
        <v>1.9008316700000001</v>
      </c>
      <c r="E438" s="79">
        <f t="shared" si="320"/>
        <v>-3.3620921077742727E-3</v>
      </c>
      <c r="F438" s="79">
        <f t="shared" si="321"/>
        <v>3.1285487901877573E-3</v>
      </c>
      <c r="G438" s="79">
        <f t="shared" si="322"/>
        <v>6.4243415601875631E-2</v>
      </c>
      <c r="H438" s="79">
        <f t="shared" si="323"/>
        <v>0.15545785290456426</v>
      </c>
      <c r="I438" s="80" t="str">
        <f t="shared" si="324"/>
        <v>102025</v>
      </c>
      <c r="J438" s="79">
        <f t="shared" si="325"/>
        <v>1.0346266653885605E-2</v>
      </c>
      <c r="K438" s="79">
        <f t="shared" si="326"/>
        <v>8.1503301968273156E-3</v>
      </c>
      <c r="L438" s="81">
        <f t="shared" si="327"/>
        <v>106.42434156018759</v>
      </c>
      <c r="M438" s="82">
        <f t="shared" si="328"/>
        <v>115.54578529045646</v>
      </c>
    </row>
    <row r="439" spans="1:13" ht="15" thickBot="1" x14ac:dyDescent="0.35">
      <c r="A439" s="60">
        <v>45959</v>
      </c>
      <c r="B439" s="68" vm="299">
        <v>148632.93</v>
      </c>
      <c r="C439" s="68">
        <v>143166.06</v>
      </c>
      <c r="D439" s="68">
        <v>1.90711305</v>
      </c>
      <c r="E439" s="79">
        <f t="shared" si="320"/>
        <v>3.3045430056413139E-3</v>
      </c>
      <c r="F439" s="79">
        <f t="shared" si="321"/>
        <v>8.1668519537214657E-3</v>
      </c>
      <c r="G439" s="79">
        <f t="shared" si="322"/>
        <v>6.7760253737202403E-2</v>
      </c>
      <c r="H439" s="79">
        <f t="shared" si="323"/>
        <v>0.1648943061280006</v>
      </c>
      <c r="I439" s="80" t="str">
        <f t="shared" si="324"/>
        <v>102025</v>
      </c>
      <c r="J439" s="79">
        <f t="shared" si="325"/>
        <v>1.3684999342632453E-2</v>
      </c>
      <c r="K439" s="79">
        <f t="shared" si="326"/>
        <v>1.6383744690640301E-2</v>
      </c>
      <c r="L439" s="81">
        <f t="shared" si="327"/>
        <v>106.77602537372029</v>
      </c>
      <c r="M439" s="82">
        <f t="shared" si="328"/>
        <v>116.48943061280011</v>
      </c>
    </row>
    <row r="440" spans="1:13" ht="15" thickBot="1" x14ac:dyDescent="0.35">
      <c r="A440" s="60">
        <v>45960</v>
      </c>
      <c r="B440" s="68" vm="300">
        <v>148780.22</v>
      </c>
      <c r="C440" s="68">
        <v>143327.06</v>
      </c>
      <c r="D440" s="68">
        <v>1.90925773</v>
      </c>
      <c r="E440" s="79">
        <f t="shared" si="320"/>
        <v>1.1245688869885306E-3</v>
      </c>
      <c r="F440" s="79">
        <f t="shared" si="321"/>
        <v>9.9096478822024991E-4</v>
      </c>
      <c r="G440" s="79">
        <f t="shared" si="322"/>
        <v>6.896102369731838E-2</v>
      </c>
      <c r="H440" s="79">
        <f t="shared" si="323"/>
        <v>0.16604867536737178</v>
      </c>
      <c r="I440" s="80" t="str">
        <f t="shared" si="324"/>
        <v>102025</v>
      </c>
      <c r="J440" s="79">
        <f t="shared" si="325"/>
        <v>1.4824957954100215E-2</v>
      </c>
      <c r="K440" s="79">
        <f t="shared" si="326"/>
        <v>1.7390945192948148E-2</v>
      </c>
      <c r="L440" s="81">
        <f t="shared" si="327"/>
        <v>106.89610236973188</v>
      </c>
      <c r="M440" s="82">
        <f t="shared" si="328"/>
        <v>116.60486753673722</v>
      </c>
    </row>
    <row r="441" spans="1:13" ht="15" thickBot="1" x14ac:dyDescent="0.35">
      <c r="A441" s="60">
        <v>45961</v>
      </c>
      <c r="B441" s="68" vm="301">
        <v>149540.43</v>
      </c>
      <c r="C441" s="68">
        <v>144685.47</v>
      </c>
      <c r="D441" s="68">
        <v>1.92735309</v>
      </c>
      <c r="E441" s="79">
        <f t="shared" si="320"/>
        <v>9.4776937213185697E-3</v>
      </c>
      <c r="F441" s="79">
        <f t="shared" si="321"/>
        <v>5.1096173940325951E-3</v>
      </c>
      <c r="G441" s="79">
        <f t="shared" si="322"/>
        <v>7.9092308879948892E-2</v>
      </c>
      <c r="H441" s="79">
        <f t="shared" si="323"/>
        <v>0.17200673796131749</v>
      </c>
      <c r="I441" s="80" t="str">
        <f t="shared" si="324"/>
        <v>102025</v>
      </c>
      <c r="J441" s="79">
        <f t="shared" si="325"/>
        <v>2.4443158086339123E-2</v>
      </c>
      <c r="K441" s="79">
        <f t="shared" si="326"/>
        <v>2.2589423663037289E-2</v>
      </c>
      <c r="L441" s="81">
        <f t="shared" si="327"/>
        <v>107.90923088799491</v>
      </c>
      <c r="M441" s="82">
        <f t="shared" si="328"/>
        <v>117.2006737961318</v>
      </c>
    </row>
    <row r="442" spans="1:13" ht="15" thickBot="1" x14ac:dyDescent="0.35">
      <c r="A442" s="60">
        <v>45964</v>
      </c>
      <c r="B442" s="68" vm="302">
        <v>150454.24</v>
      </c>
      <c r="C442" s="68">
        <v>144822.85999999999</v>
      </c>
      <c r="D442" s="68">
        <v>1.9291832600000001</v>
      </c>
      <c r="E442" s="79">
        <f t="shared" si="320"/>
        <v>9.4957691431618585E-4</v>
      </c>
      <c r="F442" s="79">
        <f t="shared" si="321"/>
        <v>6.1107889017038008E-3</v>
      </c>
      <c r="G442" s="79">
        <f t="shared" si="322"/>
        <v>8.0116990024877488E-2</v>
      </c>
      <c r="H442" s="79">
        <f t="shared" si="323"/>
        <v>0.17916862372837339</v>
      </c>
      <c r="I442" s="80" t="str">
        <f t="shared" si="324"/>
        <v>112025</v>
      </c>
      <c r="J442" s="79">
        <f t="shared" si="325"/>
        <v>9.4957691431618585E-4</v>
      </c>
      <c r="K442" s="79">
        <f t="shared" si="326"/>
        <v>6.1107889017038008E-3</v>
      </c>
      <c r="L442" s="81">
        <f t="shared" si="327"/>
        <v>108.01169900248776</v>
      </c>
      <c r="M442" s="82">
        <f t="shared" si="328"/>
        <v>117.9168623728374</v>
      </c>
    </row>
    <row r="443" spans="1:13" ht="15" thickBot="1" x14ac:dyDescent="0.35">
      <c r="A443" s="60">
        <v>45965</v>
      </c>
      <c r="B443" s="68" vm="303">
        <v>150704.20000000001</v>
      </c>
      <c r="C443" s="68">
        <v>145641.94</v>
      </c>
      <c r="D443" s="68">
        <v>1.94009421</v>
      </c>
      <c r="E443" s="79">
        <f t="shared" si="320"/>
        <v>5.6557353706252478E-3</v>
      </c>
      <c r="F443" s="79">
        <f t="shared" si="321"/>
        <v>1.661368931842766E-3</v>
      </c>
      <c r="G443" s="79">
        <f t="shared" si="322"/>
        <v>8.6225845889774222E-2</v>
      </c>
      <c r="H443" s="79">
        <f t="shared" si="323"/>
        <v>0.18112765784523965</v>
      </c>
      <c r="I443" s="80" t="str">
        <f t="shared" si="324"/>
        <v>112025</v>
      </c>
      <c r="J443" s="79">
        <f t="shared" si="325"/>
        <v>6.610682840682891E-3</v>
      </c>
      <c r="K443" s="79">
        <f t="shared" si="326"/>
        <v>7.782310108376933E-3</v>
      </c>
      <c r="L443" s="81">
        <f t="shared" si="327"/>
        <v>108.62258458897746</v>
      </c>
      <c r="M443" s="82">
        <f t="shared" si="328"/>
        <v>118.11276578452402</v>
      </c>
    </row>
    <row r="444" spans="1:13" ht="15" thickBot="1" x14ac:dyDescent="0.35">
      <c r="A444" s="60">
        <v>45966</v>
      </c>
      <c r="B444" s="68" vm="304">
        <v>153294.44</v>
      </c>
      <c r="C444" s="68">
        <v>148104.51999999999</v>
      </c>
      <c r="D444" s="68">
        <v>1.9728982100000001</v>
      </c>
      <c r="E444" s="79">
        <f t="shared" si="320"/>
        <v>1.6908457244455111E-2</v>
      </c>
      <c r="F444" s="79">
        <f t="shared" si="321"/>
        <v>1.7187576723143749E-2</v>
      </c>
      <c r="G444" s="79">
        <f t="shared" si="322"/>
        <v>0.10459224916282372</v>
      </c>
      <c r="H444" s="79">
        <f t="shared" si="323"/>
        <v>0.20142838008428177</v>
      </c>
      <c r="I444" s="80" t="str">
        <f t="shared" si="324"/>
        <v>112025</v>
      </c>
      <c r="J444" s="79">
        <f t="shared" si="325"/>
        <v>2.3630916533306401E-2</v>
      </c>
      <c r="K444" s="79">
        <f t="shared" si="326"/>
        <v>2.5103645883591819E-2</v>
      </c>
      <c r="L444" s="81">
        <f t="shared" si="327"/>
        <v>110.45922491628239</v>
      </c>
      <c r="M444" s="82">
        <f t="shared" si="328"/>
        <v>120.14283800842823</v>
      </c>
    </row>
    <row r="445" spans="1:13" ht="15" thickBot="1" x14ac:dyDescent="0.35">
      <c r="A445" s="60">
        <v>45967</v>
      </c>
      <c r="B445" s="68" vm="305">
        <v>153338.63</v>
      </c>
      <c r="C445" s="68">
        <v>148663.54</v>
      </c>
      <c r="D445" s="68">
        <v>1.9803449099999999</v>
      </c>
      <c r="E445" s="79">
        <f t="shared" si="320"/>
        <v>3.7744978236864402E-3</v>
      </c>
      <c r="F445" s="79">
        <f t="shared" si="321"/>
        <v>2.8826877217458247E-4</v>
      </c>
      <c r="G445" s="79">
        <f t="shared" si="322"/>
        <v>0.10876153020334978</v>
      </c>
      <c r="H445" s="79">
        <f t="shared" si="323"/>
        <v>0.20177471436826444</v>
      </c>
      <c r="I445" s="80" t="str">
        <f t="shared" si="324"/>
        <v>112025</v>
      </c>
      <c r="J445" s="79">
        <f t="shared" si="325"/>
        <v>2.7494609200019449E-2</v>
      </c>
      <c r="K445" s="79">
        <f t="shared" si="326"/>
        <v>2.5399151252942342E-2</v>
      </c>
      <c r="L445" s="81">
        <f t="shared" si="327"/>
        <v>110.876153020335</v>
      </c>
      <c r="M445" s="82">
        <f t="shared" si="328"/>
        <v>120.17747143682649</v>
      </c>
    </row>
    <row r="446" spans="1:13" ht="15" thickBot="1" x14ac:dyDescent="0.35">
      <c r="A446" s="60">
        <v>45968</v>
      </c>
      <c r="B446" s="68" vm="306">
        <v>154063.53</v>
      </c>
      <c r="C446" s="68">
        <v>148282.88</v>
      </c>
      <c r="D446" s="68">
        <v>1.97527414</v>
      </c>
      <c r="E446" s="79">
        <f t="shared" si="320"/>
        <v>-2.5605489096340861E-3</v>
      </c>
      <c r="F446" s="79">
        <f t="shared" si="321"/>
        <v>4.7274453932448779E-3</v>
      </c>
      <c r="G446" s="79">
        <f t="shared" si="322"/>
        <v>0.10592249207614324</v>
      </c>
      <c r="H446" s="79">
        <f t="shared" si="323"/>
        <v>0.20745603870542295</v>
      </c>
      <c r="I446" s="80" t="str">
        <f t="shared" si="324"/>
        <v>112025</v>
      </c>
      <c r="J446" s="79">
        <f t="shared" si="325"/>
        <v>2.4863658998777405E-2</v>
      </c>
      <c r="K446" s="79">
        <f t="shared" si="326"/>
        <v>3.0246669746770261E-2</v>
      </c>
      <c r="L446" s="81">
        <f t="shared" si="327"/>
        <v>110.59224920761436</v>
      </c>
      <c r="M446" s="82">
        <f t="shared" si="328"/>
        <v>120.74560387054234</v>
      </c>
    </row>
    <row r="447" spans="1:13" ht="15" thickBot="1" x14ac:dyDescent="0.35">
      <c r="A447" s="60">
        <v>45971</v>
      </c>
      <c r="B447" s="68" vm="307">
        <v>155257.31</v>
      </c>
      <c r="C447" s="68">
        <v>149747.29</v>
      </c>
      <c r="D447" s="68">
        <v>1.9947815200000001</v>
      </c>
      <c r="E447" s="79">
        <f t="shared" si="320"/>
        <v>9.8757836216092354E-3</v>
      </c>
      <c r="F447" s="79">
        <f t="shared" si="321"/>
        <v>7.7486216238196182E-3</v>
      </c>
      <c r="G447" s="79">
        <f t="shared" si="322"/>
        <v>0.11684434331015803</v>
      </c>
      <c r="H447" s="79">
        <f t="shared" si="323"/>
        <v>0.21681215867674752</v>
      </c>
      <c r="I447" s="80" t="str">
        <f t="shared" si="324"/>
        <v>112025</v>
      </c>
      <c r="J447" s="79">
        <f t="shared" si="325"/>
        <v>3.4984990736700139E-2</v>
      </c>
      <c r="K447" s="79">
        <f t="shared" si="326"/>
        <v>3.8229661369838297E-2</v>
      </c>
      <c r="L447" s="81">
        <f t="shared" si="327"/>
        <v>111.68443433101584</v>
      </c>
      <c r="M447" s="82">
        <f t="shared" si="328"/>
        <v>121.68121586767478</v>
      </c>
    </row>
    <row r="448" spans="1:13" ht="15" thickBot="1" x14ac:dyDescent="0.35">
      <c r="A448" s="60">
        <v>45972</v>
      </c>
      <c r="B448" s="68" vm="308">
        <v>157748.6</v>
      </c>
      <c r="C448" s="68">
        <v>150820.65</v>
      </c>
      <c r="D448" s="68">
        <v>2.0090797399999998</v>
      </c>
      <c r="E448" s="79">
        <f t="shared" si="320"/>
        <v>7.1678125431999806E-3</v>
      </c>
      <c r="F448" s="79">
        <f t="shared" si="321"/>
        <v>1.6046200980810443E-2</v>
      </c>
      <c r="G448" s="79">
        <f t="shared" si="322"/>
        <v>0.12484967420293858</v>
      </c>
      <c r="H448" s="79">
        <f t="shared" si="323"/>
        <v>0.23633737113076858</v>
      </c>
      <c r="I448" s="80" t="str">
        <f t="shared" si="324"/>
        <v>112025</v>
      </c>
      <c r="J448" s="79">
        <f t="shared" si="325"/>
        <v>4.2403569135326391E-2</v>
      </c>
      <c r="K448" s="79">
        <f t="shared" si="326"/>
        <v>5.4889303180417404E-2</v>
      </c>
      <c r="L448" s="81">
        <f t="shared" si="327"/>
        <v>112.48496742029388</v>
      </c>
      <c r="M448" s="82">
        <f t="shared" si="328"/>
        <v>123.63373711307688</v>
      </c>
    </row>
    <row r="449" spans="1:13" ht="15" thickBot="1" x14ac:dyDescent="0.35">
      <c r="A449" s="60">
        <v>45973</v>
      </c>
      <c r="B449" s="68" vm="309">
        <v>157632.9</v>
      </c>
      <c r="C449" s="68">
        <v>151236.26999999999</v>
      </c>
      <c r="D449" s="68">
        <v>2.0146162099999998</v>
      </c>
      <c r="E449" s="79">
        <f t="shared" si="320"/>
        <v>2.7557243696061384E-3</v>
      </c>
      <c r="F449" s="79">
        <f t="shared" si="321"/>
        <v>-7.3344549492049271E-4</v>
      </c>
      <c r="G449" s="79">
        <f t="shared" si="322"/>
        <v>0.12794944986228329</v>
      </c>
      <c r="H449" s="79">
        <f t="shared" si="323"/>
        <v>0.23543058505571079</v>
      </c>
      <c r="I449" s="80" t="str">
        <f t="shared" si="324"/>
        <v>112025</v>
      </c>
      <c r="J449" s="79">
        <f t="shared" si="325"/>
        <v>4.527614605375696E-2</v>
      </c>
      <c r="K449" s="79">
        <f t="shared" si="326"/>
        <v>5.4115599373359968E-2</v>
      </c>
      <c r="L449" s="81">
        <f t="shared" si="327"/>
        <v>112.79494498622834</v>
      </c>
      <c r="M449" s="82">
        <f t="shared" si="328"/>
        <v>123.54305850557111</v>
      </c>
    </row>
    <row r="450" spans="1:13" ht="15" thickBot="1" x14ac:dyDescent="0.35">
      <c r="A450" s="60">
        <v>45974</v>
      </c>
      <c r="B450" s="68" vm="310">
        <v>157162.43</v>
      </c>
      <c r="C450" s="68">
        <v>150577.72</v>
      </c>
      <c r="D450" s="68">
        <v>2.00584367</v>
      </c>
      <c r="E450" s="79">
        <f t="shared" si="320"/>
        <v>-4.3544472423359126E-3</v>
      </c>
      <c r="F450" s="79">
        <f t="shared" si="321"/>
        <v>-2.9845926833801384E-3</v>
      </c>
      <c r="G450" s="79">
        <f t="shared" si="322"/>
        <v>0.12303785349083607</v>
      </c>
      <c r="H450" s="79">
        <f t="shared" si="323"/>
        <v>0.2317433279707295</v>
      </c>
      <c r="I450" s="80" t="str">
        <f t="shared" si="324"/>
        <v>112025</v>
      </c>
      <c r="J450" s="79">
        <f t="shared" si="325"/>
        <v>4.072454622209376E-2</v>
      </c>
      <c r="K450" s="79">
        <f t="shared" si="326"/>
        <v>5.0969493668033383E-2</v>
      </c>
      <c r="L450" s="81">
        <f t="shared" si="327"/>
        <v>112.30378534908363</v>
      </c>
      <c r="M450" s="82">
        <f t="shared" si="328"/>
        <v>123.17433279707298</v>
      </c>
    </row>
    <row r="451" spans="1:13" ht="15" thickBot="1" x14ac:dyDescent="0.35">
      <c r="A451" s="60">
        <v>45975</v>
      </c>
      <c r="B451" s="68" vm="311">
        <v>157738.69</v>
      </c>
      <c r="C451" s="68">
        <v>149697.76</v>
      </c>
      <c r="D451" s="68">
        <v>1.99412174</v>
      </c>
      <c r="E451" s="79">
        <f t="shared" si="320"/>
        <v>-5.8438901173190061E-3</v>
      </c>
      <c r="F451" s="79">
        <f t="shared" si="321"/>
        <v>3.666652392686931E-3</v>
      </c>
      <c r="G451" s="79">
        <f t="shared" si="322"/>
        <v>0.11647494367744571</v>
      </c>
      <c r="H451" s="79">
        <f t="shared" si="323"/>
        <v>0.23625970259140971</v>
      </c>
      <c r="I451" s="80" t="str">
        <f t="shared" si="324"/>
        <v>112025</v>
      </c>
      <c r="J451" s="79">
        <f t="shared" si="325"/>
        <v>3.4642666331575089E-2</v>
      </c>
      <c r="K451" s="79">
        <f t="shared" si="326"/>
        <v>5.4823033476632199E-2</v>
      </c>
      <c r="L451" s="81">
        <f t="shared" si="327"/>
        <v>111.6474943677446</v>
      </c>
      <c r="M451" s="82">
        <f t="shared" si="328"/>
        <v>123.62597025914098</v>
      </c>
    </row>
    <row r="452" spans="1:13" ht="15" thickBot="1" x14ac:dyDescent="0.35">
      <c r="A452" s="60">
        <v>45978</v>
      </c>
      <c r="B452" s="68" vm="312">
        <v>156992.93</v>
      </c>
      <c r="C452" s="68">
        <v>149515.29999999999</v>
      </c>
      <c r="D452" s="68">
        <v>1.9916911900000001</v>
      </c>
      <c r="E452" s="79">
        <f t="shared" si="320"/>
        <v>-1.2188573802921487E-3</v>
      </c>
      <c r="F452" s="79">
        <f t="shared" si="321"/>
        <v>-4.7278191545777615E-3</v>
      </c>
      <c r="G452" s="79">
        <f t="shared" si="322"/>
        <v>0.11511411995243326</v>
      </c>
      <c r="H452" s="79">
        <f t="shared" si="323"/>
        <v>0.23041489028946538</v>
      </c>
      <c r="I452" s="80" t="str">
        <f t="shared" si="324"/>
        <v>112025</v>
      </c>
      <c r="J452" s="79">
        <f t="shared" si="325"/>
        <v>3.3381584481751769E-2</v>
      </c>
      <c r="K452" s="79">
        <f t="shared" si="326"/>
        <v>4.9836020934271641E-2</v>
      </c>
      <c r="L452" s="81">
        <f t="shared" si="327"/>
        <v>111.51141199524335</v>
      </c>
      <c r="M452" s="82">
        <f t="shared" si="328"/>
        <v>123.04148902894656</v>
      </c>
    </row>
    <row r="453" spans="1:13" ht="15" thickBot="1" x14ac:dyDescent="0.35">
      <c r="A453" s="60">
        <v>45979</v>
      </c>
      <c r="B453" s="68" vm="313">
        <v>156522.13</v>
      </c>
      <c r="C453" s="68">
        <v>149380.76999999999</v>
      </c>
      <c r="D453" s="68">
        <v>1.98989912</v>
      </c>
      <c r="E453" s="79">
        <f t="shared" si="320"/>
        <v>-8.9977302153954053E-4</v>
      </c>
      <c r="F453" s="79">
        <f t="shared" si="321"/>
        <v>-2.998861158906907E-3</v>
      </c>
      <c r="G453" s="79">
        <f t="shared" si="322"/>
        <v>0.11411077035136219</v>
      </c>
      <c r="H453" s="79">
        <f t="shared" si="323"/>
        <v>0.22672504686563544</v>
      </c>
      <c r="I453" s="80" t="str">
        <f t="shared" si="324"/>
        <v>112025</v>
      </c>
      <c r="J453" s="79">
        <f t="shared" si="325"/>
        <v>3.245177561107937E-2</v>
      </c>
      <c r="K453" s="79">
        <f t="shared" si="326"/>
        <v>4.6687708467870515E-2</v>
      </c>
      <c r="L453" s="81">
        <f t="shared" si="327"/>
        <v>111.41107703513624</v>
      </c>
      <c r="M453" s="82">
        <f t="shared" si="328"/>
        <v>122.67250468656358</v>
      </c>
    </row>
    <row r="454" spans="1:13" ht="15" thickBot="1" x14ac:dyDescent="0.35">
      <c r="A454" s="60">
        <v>45980</v>
      </c>
      <c r="B454" s="68" vm="314">
        <v>155380.66</v>
      </c>
      <c r="C454" s="68">
        <v>148537.78</v>
      </c>
      <c r="D454" s="68">
        <v>1.97866966</v>
      </c>
      <c r="E454" s="79">
        <f t="shared" si="320"/>
        <v>-5.6432307985542218E-3</v>
      </c>
      <c r="F454" s="79">
        <f t="shared" si="321"/>
        <v>-7.2927067884905883E-3</v>
      </c>
      <c r="G454" s="79">
        <f t="shared" si="322"/>
        <v>0.10782358613911436</v>
      </c>
      <c r="H454" s="79">
        <f t="shared" si="323"/>
        <v>0.21777890078874718</v>
      </c>
      <c r="I454" s="80" t="str">
        <f t="shared" si="324"/>
        <v>112025</v>
      </c>
      <c r="J454" s="79">
        <f t="shared" si="325"/>
        <v>2.6625411952929001E-2</v>
      </c>
      <c r="K454" s="79">
        <f t="shared" si="326"/>
        <v>3.9054521910897311E-2</v>
      </c>
      <c r="L454" s="81">
        <f t="shared" si="327"/>
        <v>110.78235861391147</v>
      </c>
      <c r="M454" s="82">
        <f t="shared" si="328"/>
        <v>121.77789007887473</v>
      </c>
    </row>
    <row r="455" spans="1:13" ht="15" thickBot="1" x14ac:dyDescent="0.35">
      <c r="A455" s="60">
        <v>45982</v>
      </c>
      <c r="B455" s="68" vm="315">
        <v>154770.1</v>
      </c>
      <c r="C455" s="68">
        <v>148596.31</v>
      </c>
      <c r="D455" s="68">
        <v>1.9794493399999999</v>
      </c>
      <c r="E455" s="79">
        <f t="shared" si="320"/>
        <v>3.9404253057573335E-4</v>
      </c>
      <c r="F455" s="79">
        <f t="shared" si="321"/>
        <v>-3.9294465604663431E-3</v>
      </c>
      <c r="G455" s="79">
        <f t="shared" si="322"/>
        <v>0.1082601157484282</v>
      </c>
      <c r="H455" s="79">
        <f t="shared" si="323"/>
        <v>0.21299370367563419</v>
      </c>
      <c r="I455" s="80" t="str">
        <f t="shared" si="324"/>
        <v>112025</v>
      </c>
      <c r="J455" s="79">
        <f t="shared" si="325"/>
        <v>2.7029946028208185E-2</v>
      </c>
      <c r="K455" s="79">
        <f t="shared" si="326"/>
        <v>3.4971612693637466E-2</v>
      </c>
      <c r="L455" s="81">
        <f t="shared" si="327"/>
        <v>110.82601157484284</v>
      </c>
      <c r="M455" s="82">
        <f t="shared" si="328"/>
        <v>121.29937036756345</v>
      </c>
    </row>
    <row r="456" spans="1:13" ht="15" thickBot="1" x14ac:dyDescent="0.35">
      <c r="A456" s="60">
        <v>45985</v>
      </c>
      <c r="B456" s="68" vm="316">
        <v>155277.56</v>
      </c>
      <c r="C456" s="68">
        <v>149311.26</v>
      </c>
      <c r="D456" s="68">
        <v>1.98897317</v>
      </c>
      <c r="E456" s="79">
        <f t="shared" si="320"/>
        <v>4.8113532423113003E-3</v>
      </c>
      <c r="F456" s="79">
        <f t="shared" si="321"/>
        <v>3.2787986826912086E-3</v>
      </c>
      <c r="G456" s="79">
        <f t="shared" si="322"/>
        <v>0.11359234664965867</v>
      </c>
      <c r="H456" s="79">
        <f t="shared" si="323"/>
        <v>0.21697086583335867</v>
      </c>
      <c r="I456" s="80" t="str">
        <f t="shared" si="324"/>
        <v>112025</v>
      </c>
      <c r="J456" s="79">
        <f t="shared" si="325"/>
        <v>3.1971349888981759E-2</v>
      </c>
      <c r="K456" s="79">
        <f t="shared" si="326"/>
        <v>3.836507625396024E-2</v>
      </c>
      <c r="L456" s="81">
        <f t="shared" si="327"/>
        <v>111.35923466496588</v>
      </c>
      <c r="M456" s="82">
        <f t="shared" si="328"/>
        <v>121.69708658333589</v>
      </c>
    </row>
    <row r="457" spans="1:13" ht="15" thickBot="1" x14ac:dyDescent="0.35">
      <c r="A457" s="60">
        <v>45986</v>
      </c>
      <c r="B457" s="68" vm="317">
        <v>155910.18</v>
      </c>
      <c r="C457" s="68">
        <v>149423.92000000001</v>
      </c>
      <c r="D457" s="68">
        <v>1.9904739199999999</v>
      </c>
      <c r="E457" s="79">
        <f t="shared" si="320"/>
        <v>7.5453506494516098E-4</v>
      </c>
      <c r="F457" s="79">
        <f t="shared" si="321"/>
        <v>4.0741237819552634E-3</v>
      </c>
      <c r="G457" s="79">
        <f t="shared" si="322"/>
        <v>0.11443259112326043</v>
      </c>
      <c r="H457" s="79">
        <f t="shared" si="323"/>
        <v>0.22192895577979721</v>
      </c>
      <c r="I457" s="80" t="str">
        <f t="shared" si="324"/>
        <v>112025</v>
      </c>
      <c r="J457" s="79">
        <f t="shared" si="325"/>
        <v>3.2750008458491742E-2</v>
      </c>
      <c r="K457" s="79">
        <f t="shared" si="326"/>
        <v>4.2595504105478188E-2</v>
      </c>
      <c r="L457" s="81">
        <f t="shared" si="327"/>
        <v>111.44325911232606</v>
      </c>
      <c r="M457" s="82">
        <f t="shared" si="328"/>
        <v>122.19289557797973</v>
      </c>
    </row>
    <row r="458" spans="1:13" ht="15" thickBot="1" x14ac:dyDescent="0.35">
      <c r="A458" s="60">
        <v>45987</v>
      </c>
      <c r="B458" s="68" vm="318">
        <v>158554.94</v>
      </c>
      <c r="C458" s="68">
        <v>151599.69</v>
      </c>
      <c r="D458" s="68">
        <v>2.0194573199999999</v>
      </c>
      <c r="E458" s="79">
        <f t="shared" si="320"/>
        <v>1.456105488686843E-2</v>
      </c>
      <c r="F458" s="79">
        <f t="shared" si="321"/>
        <v>1.6963356722441203E-2</v>
      </c>
      <c r="G458" s="79">
        <f t="shared" si="322"/>
        <v>0.13065990525032101</v>
      </c>
      <c r="H458" s="79">
        <f t="shared" si="323"/>
        <v>0.2426569725461698</v>
      </c>
      <c r="I458" s="80" t="str">
        <f t="shared" si="324"/>
        <v>112025</v>
      </c>
      <c r="J458" s="79">
        <f t="shared" si="325"/>
        <v>4.7787938016069731E-2</v>
      </c>
      <c r="K458" s="79">
        <f t="shared" si="326"/>
        <v>6.0281423558832925E-2</v>
      </c>
      <c r="L458" s="81">
        <f t="shared" si="327"/>
        <v>113.06599052503213</v>
      </c>
      <c r="M458" s="82">
        <f t="shared" si="328"/>
        <v>124.26569725461701</v>
      </c>
    </row>
    <row r="459" spans="1:13" ht="15" thickBot="1" x14ac:dyDescent="0.35">
      <c r="A459" s="60">
        <v>45988</v>
      </c>
      <c r="B459" s="68" vm="319">
        <v>158359.76</v>
      </c>
      <c r="C459" s="68">
        <v>151666.91</v>
      </c>
      <c r="D459" s="68">
        <v>2.0203527499999998</v>
      </c>
      <c r="E459" s="79">
        <f t="shared" si="320"/>
        <v>4.4340129951336849E-4</v>
      </c>
      <c r="F459" s="79">
        <f t="shared" si="321"/>
        <v>-1.2309928659428593E-3</v>
      </c>
      <c r="G459" s="79">
        <f t="shared" si="322"/>
        <v>0.13116124132161677</v>
      </c>
      <c r="H459" s="79">
        <f t="shared" si="323"/>
        <v>0.24112727067815132</v>
      </c>
      <c r="I459" s="80" t="str">
        <f t="shared" si="324"/>
        <v>112025</v>
      </c>
      <c r="J459" s="79">
        <f t="shared" si="325"/>
        <v>4.8252528549400431E-2</v>
      </c>
      <c r="K459" s="79">
        <f t="shared" si="326"/>
        <v>5.8976224690540313E-2</v>
      </c>
      <c r="L459" s="81">
        <f t="shared" si="327"/>
        <v>113.1161241321617</v>
      </c>
      <c r="M459" s="82">
        <f t="shared" si="328"/>
        <v>124.11272706781516</v>
      </c>
    </row>
    <row r="460" spans="1:13" ht="15" thickBot="1" x14ac:dyDescent="0.35">
      <c r="A460" s="60">
        <v>45989</v>
      </c>
      <c r="B460" s="68" vm="320">
        <v>159072.13</v>
      </c>
      <c r="C460" s="68">
        <v>152360.47</v>
      </c>
      <c r="D460" s="68">
        <v>2.0295916599999999</v>
      </c>
      <c r="E460" s="79">
        <f t="shared" si="320"/>
        <v>4.5729192587780076E-3</v>
      </c>
      <c r="F460" s="79">
        <f t="shared" si="321"/>
        <v>4.4984281360365141E-3</v>
      </c>
      <c r="G460" s="79">
        <f t="shared" si="322"/>
        <v>0.13633395034683971</v>
      </c>
      <c r="H460" s="79">
        <f t="shared" si="323"/>
        <v>0.24671039251297233</v>
      </c>
      <c r="I460" s="80" t="str">
        <f t="shared" si="324"/>
        <v>112025</v>
      </c>
      <c r="J460" s="79">
        <f t="shared" si="325"/>
        <v>5.3046102725266664E-2</v>
      </c>
      <c r="K460" s="79">
        <f t="shared" si="326"/>
        <v>6.3739953135081961E-2</v>
      </c>
      <c r="L460" s="81">
        <f t="shared" si="327"/>
        <v>113.63339503468399</v>
      </c>
      <c r="M460" s="82">
        <f t="shared" si="328"/>
        <v>124.67103925129724</v>
      </c>
    </row>
    <row r="461" spans="1:13" ht="15" thickBot="1" x14ac:dyDescent="0.35">
      <c r="A461" s="60">
        <v>45992</v>
      </c>
      <c r="B461" s="68" vm="321">
        <v>158611.01</v>
      </c>
      <c r="C461" s="68">
        <v>152248.49</v>
      </c>
      <c r="D461" s="68">
        <v>2.02809997</v>
      </c>
      <c r="E461" s="79">
        <f t="shared" si="320"/>
        <v>-7.3497050140614029E-4</v>
      </c>
      <c r="F461" s="79">
        <f t="shared" si="321"/>
        <v>-2.8988107470491187E-3</v>
      </c>
      <c r="G461" s="79">
        <f t="shared" si="322"/>
        <v>0.13549877841358837</v>
      </c>
      <c r="H461" s="79">
        <f t="shared" si="323"/>
        <v>0.24309641502869783</v>
      </c>
      <c r="I461" s="80" t="str">
        <f t="shared" si="324"/>
        <v>122025</v>
      </c>
      <c r="J461" s="79">
        <f t="shared" si="325"/>
        <v>-7.3497050140614029E-4</v>
      </c>
      <c r="K461" s="79">
        <f t="shared" si="326"/>
        <v>-2.8988107470491187E-3</v>
      </c>
      <c r="L461" s="81">
        <f t="shared" si="327"/>
        <v>113.54987784135886</v>
      </c>
      <c r="M461" s="82">
        <f t="shared" si="328"/>
        <v>124.30964150286979</v>
      </c>
    </row>
    <row r="462" spans="1:13" ht="15" thickBot="1" x14ac:dyDescent="0.35">
      <c r="A462" s="60">
        <v>45993</v>
      </c>
      <c r="B462" s="68" vm="322">
        <v>161092.25</v>
      </c>
      <c r="C462" s="68">
        <v>154098.47</v>
      </c>
      <c r="D462" s="68">
        <v>2.0527435299999999</v>
      </c>
      <c r="E462" s="79">
        <f t="shared" si="320"/>
        <v>1.2151057819896227E-2</v>
      </c>
      <c r="F462" s="79">
        <f t="shared" si="321"/>
        <v>1.5643554630917489E-2</v>
      </c>
      <c r="G462" s="79">
        <f t="shared" si="322"/>
        <v>0.14929628972451359</v>
      </c>
      <c r="H462" s="79">
        <f t="shared" si="323"/>
        <v>0.2625428617086969</v>
      </c>
      <c r="I462" s="80" t="str">
        <f t="shared" si="324"/>
        <v>122025</v>
      </c>
      <c r="J462" s="79">
        <f t="shared" si="325"/>
        <v>1.1407156649431593E-2</v>
      </c>
      <c r="K462" s="79">
        <f t="shared" si="326"/>
        <v>1.2699396179582267E-2</v>
      </c>
      <c r="L462" s="81">
        <f t="shared" si="327"/>
        <v>114.92962897245137</v>
      </c>
      <c r="M462" s="82">
        <f t="shared" si="328"/>
        <v>126.2542861708697</v>
      </c>
    </row>
    <row r="463" spans="1:13" ht="15" thickBot="1" x14ac:dyDescent="0.35">
      <c r="A463" s="60">
        <v>45994</v>
      </c>
      <c r="B463" s="68" vm="323">
        <v>161755.18</v>
      </c>
      <c r="C463" s="68">
        <v>156240.62</v>
      </c>
      <c r="D463" s="68">
        <v>2.0812790799999998</v>
      </c>
      <c r="E463" s="79">
        <f t="shared" si="320"/>
        <v>1.3901176441657004E-2</v>
      </c>
      <c r="F463" s="79">
        <f t="shared" si="321"/>
        <v>4.1152196955471787E-3</v>
      </c>
      <c r="G463" s="79">
        <f t="shared" si="322"/>
        <v>0.16527286023171572</v>
      </c>
      <c r="H463" s="79">
        <f t="shared" si="323"/>
        <v>0.26773850295967283</v>
      </c>
      <c r="I463" s="80" t="str">
        <f t="shared" si="324"/>
        <v>122025</v>
      </c>
      <c r="J463" s="79">
        <f t="shared" si="325"/>
        <v>2.546690598836987E-2</v>
      </c>
      <c r="K463" s="79">
        <f t="shared" si="326"/>
        <v>1.6866876680409204E-2</v>
      </c>
      <c r="L463" s="81">
        <f t="shared" si="327"/>
        <v>116.52728602317158</v>
      </c>
      <c r="M463" s="82">
        <f t="shared" si="328"/>
        <v>126.77385029596732</v>
      </c>
    </row>
    <row r="464" spans="1:13" ht="15" thickBot="1" x14ac:dyDescent="0.35">
      <c r="A464" s="60">
        <v>45995</v>
      </c>
      <c r="B464" s="68" vm="324">
        <v>164455.60999999999</v>
      </c>
      <c r="C464" s="68">
        <v>157970.25</v>
      </c>
      <c r="D464" s="68">
        <v>2.1043194600000001</v>
      </c>
      <c r="E464" s="79">
        <f t="shared" si="320"/>
        <v>1.107029817452454E-2</v>
      </c>
      <c r="F464" s="79">
        <f t="shared" si="321"/>
        <v>1.6694550369267924E-2</v>
      </c>
      <c r="G464" s="79">
        <f t="shared" si="322"/>
        <v>0.178172778249162</v>
      </c>
      <c r="H464" s="79">
        <f t="shared" si="323"/>
        <v>0.28890282725239325</v>
      </c>
      <c r="I464" s="80" t="str">
        <f t="shared" si="324"/>
        <v>122025</v>
      </c>
      <c r="J464" s="79">
        <f t="shared" si="325"/>
        <v>3.6819130405768341E-2</v>
      </c>
      <c r="K464" s="79">
        <f t="shared" si="326"/>
        <v>3.3843011971990355E-2</v>
      </c>
      <c r="L464" s="81">
        <f t="shared" si="327"/>
        <v>117.8172778249162</v>
      </c>
      <c r="M464" s="82">
        <f t="shared" si="328"/>
        <v>128.89028272523939</v>
      </c>
    </row>
    <row r="465" spans="1:13" ht="15" thickBot="1" x14ac:dyDescent="0.35">
      <c r="A465" s="60">
        <v>45996</v>
      </c>
      <c r="B465" s="68" vm="325">
        <v>157369.35999999999</v>
      </c>
      <c r="C465" s="68">
        <v>152695.04999999999</v>
      </c>
      <c r="D465" s="68">
        <v>2.0340485899999998</v>
      </c>
      <c r="E465" s="79">
        <f t="shared" si="320"/>
        <v>-3.3393632162675657E-2</v>
      </c>
      <c r="F465" s="79">
        <f t="shared" si="321"/>
        <v>-4.3089135116764932E-2</v>
      </c>
      <c r="G465" s="79">
        <f t="shared" si="322"/>
        <v>0.13882930986823183</v>
      </c>
      <c r="H465" s="79">
        <f t="shared" si="323"/>
        <v>0.23336511917653469</v>
      </c>
      <c r="I465" s="80" t="str">
        <f t="shared" si="324"/>
        <v>122025</v>
      </c>
      <c r="J465" s="79">
        <f t="shared" si="325"/>
        <v>2.1959737457728501E-3</v>
      </c>
      <c r="K465" s="79">
        <f t="shared" si="326"/>
        <v>-1.0704389260393965E-2</v>
      </c>
      <c r="L465" s="81">
        <f t="shared" si="327"/>
        <v>113.88293098682318</v>
      </c>
      <c r="M465" s="82">
        <f t="shared" si="328"/>
        <v>123.33651191765351</v>
      </c>
    </row>
    <row r="466" spans="1:13" ht="15" thickBot="1" x14ac:dyDescent="0.35">
      <c r="A466" s="60">
        <v>45999</v>
      </c>
      <c r="B466" s="68" vm="326">
        <v>158187.43</v>
      </c>
      <c r="C466" s="68">
        <v>153914.96</v>
      </c>
      <c r="D466" s="68">
        <v>2.0502989999999999</v>
      </c>
      <c r="E466" s="79">
        <f t="shared" si="320"/>
        <v>7.9891945944123854E-3</v>
      </c>
      <c r="F466" s="79">
        <f t="shared" si="321"/>
        <v>5.1984071105073415E-3</v>
      </c>
      <c r="G466" s="79">
        <f t="shared" si="322"/>
        <v>0.14792763883458937</v>
      </c>
      <c r="H466" s="79">
        <f t="shared" si="323"/>
        <v>0.23977665318191388</v>
      </c>
      <c r="I466" s="80" t="str">
        <f t="shared" si="324"/>
        <v>122025</v>
      </c>
      <c r="J466" s="79">
        <f t="shared" si="325"/>
        <v>1.0202712401764513E-2</v>
      </c>
      <c r="K466" s="79">
        <f t="shared" si="326"/>
        <v>-5.5616279231315291E-3</v>
      </c>
      <c r="L466" s="81">
        <f t="shared" si="327"/>
        <v>114.79276388345895</v>
      </c>
      <c r="M466" s="82">
        <f t="shared" si="328"/>
        <v>123.97766531819141</v>
      </c>
    </row>
    <row r="467" spans="1:13" ht="15" thickBot="1" x14ac:dyDescent="0.35">
      <c r="A467" s="60">
        <v>46000</v>
      </c>
      <c r="B467" s="68" vm="327">
        <v>157981.13</v>
      </c>
      <c r="C467" s="68">
        <v>153978.79999999999</v>
      </c>
      <c r="D467" s="68">
        <v>2.0511494099999998</v>
      </c>
      <c r="E467" s="79">
        <f t="shared" si="320"/>
        <v>4.1477365008701916E-4</v>
      </c>
      <c r="F467" s="79">
        <f t="shared" si="321"/>
        <v>-1.3041491349848888E-3</v>
      </c>
      <c r="G467" s="79">
        <f t="shared" si="322"/>
        <v>0.14840376897138485</v>
      </c>
      <c r="H467" s="79">
        <f t="shared" si="323"/>
        <v>0.2381597995320921</v>
      </c>
      <c r="I467" s="80" t="str">
        <f t="shared" si="324"/>
        <v>122025</v>
      </c>
      <c r="J467" s="79">
        <f t="shared" si="325"/>
        <v>1.0621717868115166E-2</v>
      </c>
      <c r="K467" s="79">
        <f t="shared" si="326"/>
        <v>-6.8585238658713799E-3</v>
      </c>
      <c r="L467" s="81">
        <f t="shared" si="327"/>
        <v>114.84037689713847</v>
      </c>
      <c r="M467" s="82">
        <f t="shared" si="328"/>
        <v>123.81597995320925</v>
      </c>
    </row>
    <row r="468" spans="1:13" ht="15" thickBot="1" x14ac:dyDescent="0.35">
      <c r="A468" s="60">
        <v>46001</v>
      </c>
      <c r="B468" s="68" vm="328">
        <v>159074.97</v>
      </c>
      <c r="C468" s="68">
        <v>154723.85</v>
      </c>
      <c r="D468" s="68">
        <v>2.0610742100000001</v>
      </c>
      <c r="E468" s="79">
        <f t="shared" si="320"/>
        <v>4.838652879996852E-3</v>
      </c>
      <c r="F468" s="79">
        <f t="shared" si="321"/>
        <v>6.9238648944971448E-3</v>
      </c>
      <c r="G468" s="79">
        <f t="shared" si="322"/>
        <v>0.15396049617551744</v>
      </c>
      <c r="H468" s="79">
        <f t="shared" si="323"/>
        <v>0.24673265070185013</v>
      </c>
      <c r="I468" s="80" t="str">
        <f t="shared" si="324"/>
        <v>122025</v>
      </c>
      <c r="J468" s="79">
        <f t="shared" si="325"/>
        <v>1.551176555386502E-2</v>
      </c>
      <c r="K468" s="79">
        <f t="shared" si="326"/>
        <v>1.7853536002698789E-5</v>
      </c>
      <c r="L468" s="81">
        <f t="shared" si="327"/>
        <v>115.39604961755174</v>
      </c>
      <c r="M468" s="82">
        <f t="shared" si="328"/>
        <v>124.67326507018504</v>
      </c>
    </row>
    <row r="469" spans="1:13" ht="15" thickBot="1" x14ac:dyDescent="0.35">
      <c r="A469" s="60">
        <v>46002</v>
      </c>
      <c r="B469" s="68" vm="329">
        <v>159189.1</v>
      </c>
      <c r="C469" s="68">
        <v>154978.95000000001</v>
      </c>
      <c r="D469" s="68">
        <v>2.0644723900000002</v>
      </c>
      <c r="E469" s="79">
        <f t="shared" si="320"/>
        <v>1.6487421867259489E-3</v>
      </c>
      <c r="F469" s="79">
        <f t="shared" si="321"/>
        <v>7.1746045276643855E-4</v>
      </c>
      <c r="G469" s="79">
        <f t="shared" si="322"/>
        <v>0.15586307952737721</v>
      </c>
      <c r="H469" s="79">
        <f t="shared" si="323"/>
        <v>0.24762713207390119</v>
      </c>
      <c r="I469" s="80" t="str">
        <f t="shared" si="324"/>
        <v>122025</v>
      </c>
      <c r="J469" s="79">
        <f t="shared" si="325"/>
        <v>1.7186082642850264E-2</v>
      </c>
      <c r="K469" s="79">
        <f t="shared" si="326"/>
        <v>7.3532679797505551E-4</v>
      </c>
      <c r="L469" s="81">
        <f t="shared" si="327"/>
        <v>115.58630795273771</v>
      </c>
      <c r="M469" s="82">
        <f t="shared" si="328"/>
        <v>124.76271320739016</v>
      </c>
    </row>
    <row r="470" spans="1:13" ht="15" thickBot="1" x14ac:dyDescent="0.35">
      <c r="A470" s="60">
        <v>46003</v>
      </c>
      <c r="B470" s="68" vm="330">
        <v>160766.37</v>
      </c>
      <c r="C470" s="68">
        <v>155485.72</v>
      </c>
      <c r="D470" s="68">
        <v>2.0712230699999998</v>
      </c>
      <c r="E470" s="79">
        <f t="shared" si="320"/>
        <v>3.2699299020413353E-3</v>
      </c>
      <c r="F470" s="79">
        <f t="shared" si="321"/>
        <v>9.9081532592368848E-3</v>
      </c>
      <c r="G470" s="79">
        <f t="shared" si="322"/>
        <v>0.15964267077378946</v>
      </c>
      <c r="H470" s="79">
        <f t="shared" si="323"/>
        <v>0.25998881290887166</v>
      </c>
      <c r="I470" s="80" t="str">
        <f t="shared" si="324"/>
        <v>122025</v>
      </c>
      <c r="J470" s="79">
        <f t="shared" si="325"/>
        <v>2.0512209830424455E-2</v>
      </c>
      <c r="K470" s="79">
        <f t="shared" si="326"/>
        <v>1.065076578782187E-2</v>
      </c>
      <c r="L470" s="81">
        <f t="shared" si="327"/>
        <v>115.96426707737892</v>
      </c>
      <c r="M470" s="82">
        <f t="shared" si="328"/>
        <v>125.9988812908872</v>
      </c>
    </row>
    <row r="471" spans="1:13" ht="15" thickBot="1" x14ac:dyDescent="0.35">
      <c r="A471" s="60">
        <v>46006</v>
      </c>
      <c r="B471" s="68" vm="331">
        <v>162481.74</v>
      </c>
      <c r="C471" s="68">
        <v>156707.95000000001</v>
      </c>
      <c r="D471" s="68">
        <v>2.0875043799999999</v>
      </c>
      <c r="E471" s="79">
        <f t="shared" si="320"/>
        <v>7.8607226019358212E-3</v>
      </c>
      <c r="F471" s="79">
        <f t="shared" si="321"/>
        <v>1.0669955414182697E-2</v>
      </c>
      <c r="G471" s="79">
        <f t="shared" si="322"/>
        <v>0.16875830012611015</v>
      </c>
      <c r="H471" s="79">
        <f t="shared" si="323"/>
        <v>0.27343283736497837</v>
      </c>
      <c r="I471" s="80" t="str">
        <f t="shared" si="324"/>
        <v>122025</v>
      </c>
      <c r="J471" s="79">
        <f t="shared" si="325"/>
        <v>2.8534173223790038E-2</v>
      </c>
      <c r="K471" s="79">
        <f t="shared" si="326"/>
        <v>2.1434364398087435E-2</v>
      </c>
      <c r="L471" s="81">
        <f t="shared" si="327"/>
        <v>116.87583001261099</v>
      </c>
      <c r="M471" s="82">
        <f t="shared" si="328"/>
        <v>127.34328373649787</v>
      </c>
    </row>
    <row r="472" spans="1:13" ht="15" thickBot="1" x14ac:dyDescent="0.35">
      <c r="A472" s="60">
        <v>46007</v>
      </c>
      <c r="B472" s="68" vm="332">
        <v>158577.88</v>
      </c>
      <c r="C472" s="68">
        <v>154050.9</v>
      </c>
      <c r="D472" s="68">
        <v>2.0521098499999999</v>
      </c>
      <c r="E472" s="79">
        <f t="shared" si="320"/>
        <v>-1.6955427897114128E-2</v>
      </c>
      <c r="F472" s="79">
        <f t="shared" si="321"/>
        <v>-2.4026453680271898E-2</v>
      </c>
      <c r="G472" s="79">
        <f t="shared" si="322"/>
        <v>0.14894150303916831</v>
      </c>
      <c r="H472" s="79">
        <f t="shared" si="323"/>
        <v>0.24283676228309137</v>
      </c>
      <c r="I472" s="80" t="str">
        <f t="shared" si="324"/>
        <v>122025</v>
      </c>
      <c r="J472" s="79">
        <f t="shared" si="325"/>
        <v>1.1094936209976147E-2</v>
      </c>
      <c r="K472" s="79">
        <f t="shared" si="326"/>
        <v>-3.107081045561233E-3</v>
      </c>
      <c r="L472" s="81">
        <f t="shared" si="327"/>
        <v>114.8941503039168</v>
      </c>
      <c r="M472" s="82">
        <f t="shared" si="328"/>
        <v>124.28367622830918</v>
      </c>
    </row>
    <row r="473" spans="1:13" ht="15" thickBot="1" x14ac:dyDescent="0.35">
      <c r="A473" s="60">
        <v>46008</v>
      </c>
      <c r="B473" s="68" vm="333">
        <v>157327.26</v>
      </c>
      <c r="C473" s="68">
        <v>153193.19</v>
      </c>
      <c r="D473" s="68">
        <v>2.0406843100000001</v>
      </c>
      <c r="E473" s="79">
        <f t="shared" si="320"/>
        <v>-5.5677038926545963E-3</v>
      </c>
      <c r="F473" s="79">
        <f t="shared" si="321"/>
        <v>-7.8864719341688039E-3</v>
      </c>
      <c r="G473" s="79">
        <f t="shared" si="322"/>
        <v>0.1425445369602647</v>
      </c>
      <c r="H473" s="79">
        <f t="shared" si="323"/>
        <v>0.23303516503859245</v>
      </c>
      <c r="I473" s="80" t="str">
        <f t="shared" si="324"/>
        <v>122025</v>
      </c>
      <c r="J473" s="79">
        <f t="shared" si="325"/>
        <v>5.4654589977964907E-3</v>
      </c>
      <c r="K473" s="79">
        <f t="shared" si="326"/>
        <v>-1.0969049072267034E-2</v>
      </c>
      <c r="L473" s="81">
        <f t="shared" si="327"/>
        <v>114.25445369602645</v>
      </c>
      <c r="M473" s="82">
        <f t="shared" si="328"/>
        <v>123.3035165038593</v>
      </c>
    </row>
    <row r="474" spans="1:13" ht="15" thickBot="1" x14ac:dyDescent="0.35">
      <c r="A474" s="60">
        <v>46009</v>
      </c>
      <c r="B474" s="68" vm="334">
        <v>157923.34</v>
      </c>
      <c r="C474" s="68">
        <v>154040.10999999999</v>
      </c>
      <c r="D474" s="68">
        <v>2.0519661199999999</v>
      </c>
      <c r="E474" s="79">
        <f t="shared" si="320"/>
        <v>5.5284445245722402E-3</v>
      </c>
      <c r="F474" s="79">
        <f t="shared" si="321"/>
        <v>3.7887903215245711E-3</v>
      </c>
      <c r="G474" s="79">
        <f t="shared" si="322"/>
        <v>0.1488610310497025</v>
      </c>
      <c r="H474" s="79">
        <f t="shared" si="323"/>
        <v>0.23770687673799018</v>
      </c>
      <c r="I474" s="80" t="str">
        <f t="shared" si="324"/>
        <v>122025</v>
      </c>
      <c r="J474" s="79">
        <f t="shared" si="325"/>
        <v>1.1024119009239275E-2</v>
      </c>
      <c r="K474" s="79">
        <f t="shared" si="326"/>
        <v>-7.2218181777038426E-3</v>
      </c>
      <c r="L474" s="81">
        <f t="shared" si="327"/>
        <v>114.88610310497023</v>
      </c>
      <c r="M474" s="82">
        <f t="shared" si="328"/>
        <v>123.77068767379906</v>
      </c>
    </row>
    <row r="475" spans="1:13" ht="15" thickBot="1" x14ac:dyDescent="0.35">
      <c r="A475" s="60">
        <v>46010</v>
      </c>
      <c r="B475" s="68" vm="335">
        <v>158473.01999999999</v>
      </c>
      <c r="C475" s="68">
        <v>154045.06</v>
      </c>
      <c r="D475" s="68">
        <v>2.0520320600000002</v>
      </c>
      <c r="E475" s="79">
        <f t="shared" si="320"/>
        <v>3.2135033496638599E-5</v>
      </c>
      <c r="F475" s="79">
        <f t="shared" si="321"/>
        <v>3.4806761305832268E-3</v>
      </c>
      <c r="G475" s="79">
        <f t="shared" si="322"/>
        <v>0.14889794973741832</v>
      </c>
      <c r="H475" s="79">
        <f t="shared" si="323"/>
        <v>0.24201493352051107</v>
      </c>
      <c r="I475" s="80" t="str">
        <f t="shared" si="324"/>
        <v>122025</v>
      </c>
      <c r="J475" s="79">
        <f t="shared" si="325"/>
        <v>1.1056608303169568E-2</v>
      </c>
      <c r="K475" s="79">
        <f t="shared" si="326"/>
        <v>-3.7662788572712103E-3</v>
      </c>
      <c r="L475" s="81">
        <f t="shared" si="327"/>
        <v>114.88979497374181</v>
      </c>
      <c r="M475" s="82">
        <f t="shared" si="328"/>
        <v>124.20149335205113</v>
      </c>
    </row>
    <row r="476" spans="1:13" ht="15" thickBot="1" x14ac:dyDescent="0.35">
      <c r="A476" s="60">
        <v>46013</v>
      </c>
      <c r="B476" s="68" vm="336">
        <v>158141.65</v>
      </c>
      <c r="C476" s="68">
        <v>154092.03</v>
      </c>
      <c r="D476" s="68">
        <v>2.0526577399999999</v>
      </c>
      <c r="E476" s="79">
        <f t="shared" si="320"/>
        <v>3.0490751689304929E-4</v>
      </c>
      <c r="F476" s="79">
        <f t="shared" si="321"/>
        <v>-2.0910183954341299E-3</v>
      </c>
      <c r="G476" s="79">
        <f t="shared" si="322"/>
        <v>0.14924825735843639</v>
      </c>
      <c r="H476" s="79">
        <f t="shared" si="323"/>
        <v>0.23941785744711575</v>
      </c>
      <c r="I476" s="80" t="str">
        <f t="shared" si="324"/>
        <v>122025</v>
      </c>
      <c r="J476" s="79">
        <f t="shared" si="325"/>
        <v>1.1364887063045614E-2</v>
      </c>
      <c r="K476" s="79">
        <f t="shared" si="326"/>
        <v>-5.8494218943324627E-3</v>
      </c>
      <c r="L476" s="81">
        <f t="shared" si="327"/>
        <v>114.92482573584361</v>
      </c>
      <c r="M476" s="82">
        <f t="shared" si="328"/>
        <v>123.94178574471159</v>
      </c>
    </row>
    <row r="477" spans="1:13" ht="15" thickBot="1" x14ac:dyDescent="0.35">
      <c r="A477" s="60">
        <v>46014</v>
      </c>
      <c r="B477" s="68" vm="337">
        <v>160455.82999999999</v>
      </c>
      <c r="C477" s="68">
        <v>156163.56</v>
      </c>
      <c r="D477" s="68">
        <v>2.0876703700000001</v>
      </c>
      <c r="E477" s="79">
        <f t="shared" si="320"/>
        <v>1.7057217731778485E-2</v>
      </c>
      <c r="F477" s="79">
        <f t="shared" si="321"/>
        <v>1.4633589569857053E-2</v>
      </c>
      <c r="G477" s="79">
        <f t="shared" si="322"/>
        <v>0.16885123511206612</v>
      </c>
      <c r="H477" s="79">
        <f t="shared" si="323"/>
        <v>0.25755498967854851</v>
      </c>
      <c r="I477" s="80" t="str">
        <f t="shared" si="324"/>
        <v>122025</v>
      </c>
      <c r="J477" s="79">
        <f t="shared" si="325"/>
        <v>2.8615958147955478E-2</v>
      </c>
      <c r="K477" s="79">
        <f t="shared" si="326"/>
        <v>8.6985696363020004E-3</v>
      </c>
      <c r="L477" s="81">
        <f t="shared" si="327"/>
        <v>116.8851235112066</v>
      </c>
      <c r="M477" s="82">
        <f t="shared" si="328"/>
        <v>125.75549896785486</v>
      </c>
    </row>
    <row r="478" spans="1:13" ht="15" thickBot="1" x14ac:dyDescent="0.35">
      <c r="A478" s="60">
        <v>46015</v>
      </c>
      <c r="B478" s="68" vm="337">
        <v>160455.82999999999</v>
      </c>
      <c r="C478" s="68">
        <v>156160.95999999999</v>
      </c>
      <c r="D478" s="68">
        <v>2.08763561</v>
      </c>
      <c r="E478" s="79">
        <f t="shared" si="320"/>
        <v>-1.6650138115470448E-5</v>
      </c>
      <c r="F478" s="79">
        <f t="shared" si="321"/>
        <v>0</v>
      </c>
      <c r="G478" s="79">
        <f t="shared" si="322"/>
        <v>0.16883177357756507</v>
      </c>
      <c r="H478" s="79">
        <f t="shared" si="323"/>
        <v>0.25755498967854851</v>
      </c>
      <c r="I478" s="80" t="str">
        <f t="shared" si="324"/>
        <v>122025</v>
      </c>
      <c r="J478" s="79">
        <f t="shared" si="325"/>
        <v>2.8598831550184611E-2</v>
      </c>
      <c r="K478" s="79">
        <f t="shared" si="326"/>
        <v>8.6985696363020004E-3</v>
      </c>
      <c r="L478" s="81">
        <f t="shared" si="327"/>
        <v>116.88317735775649</v>
      </c>
      <c r="M478" s="82">
        <f t="shared" si="328"/>
        <v>125.75549896785486</v>
      </c>
    </row>
    <row r="479" spans="1:13" ht="15" thickBot="1" x14ac:dyDescent="0.35">
      <c r="A479" s="60">
        <v>46017</v>
      </c>
      <c r="B479" s="68" vm="338">
        <v>160896.64000000001</v>
      </c>
      <c r="C479" s="68">
        <v>156377.82999999999</v>
      </c>
      <c r="D479" s="68">
        <v>2.0905348300000002</v>
      </c>
      <c r="E479" s="79">
        <f t="shared" si="320"/>
        <v>1.3887576865008189E-3</v>
      </c>
      <c r="F479" s="79">
        <f t="shared" si="321"/>
        <v>2.7472357969169359E-3</v>
      </c>
      <c r="G479" s="79">
        <f t="shared" si="322"/>
        <v>0.17045499768734729</v>
      </c>
      <c r="H479" s="79">
        <f t="shared" si="323"/>
        <v>0.26100978976278499</v>
      </c>
      <c r="I479" s="80" t="str">
        <f t="shared" si="324"/>
        <v>122025</v>
      </c>
      <c r="J479" s="79">
        <f t="shared" si="325"/>
        <v>3.0027306083825644E-2</v>
      </c>
      <c r="K479" s="79">
        <f t="shared" si="326"/>
        <v>1.1469702455105812E-2</v>
      </c>
      <c r="L479" s="81">
        <f t="shared" si="327"/>
        <v>117.04549976873471</v>
      </c>
      <c r="M479" s="82">
        <f t="shared" si="328"/>
        <v>126.1009789762785</v>
      </c>
    </row>
    <row r="480" spans="1:13" ht="15" thickBot="1" x14ac:dyDescent="0.35">
      <c r="A480" s="60">
        <v>46020</v>
      </c>
      <c r="B480" s="68" vm="339">
        <v>160490.29999999999</v>
      </c>
      <c r="C480" s="68">
        <v>156327.92000000001</v>
      </c>
      <c r="D480" s="68">
        <v>2.0898676100000002</v>
      </c>
      <c r="E480" s="79">
        <f t="shared" si="320"/>
        <v>-3.1916234564721702E-4</v>
      </c>
      <c r="F480" s="79">
        <f t="shared" si="321"/>
        <v>-2.5254722534916452E-3</v>
      </c>
      <c r="G480" s="79">
        <f t="shared" si="322"/>
        <v>0.17008143252481078</v>
      </c>
      <c r="H480" s="79">
        <f t="shared" si="323"/>
        <v>0.25782514452735783</v>
      </c>
      <c r="I480" s="80" t="str">
        <f t="shared" si="324"/>
        <v>122025</v>
      </c>
      <c r="J480" s="79">
        <f t="shared" si="325"/>
        <v>2.9698560152735309E-2</v>
      </c>
      <c r="K480" s="79">
        <f t="shared" si="326"/>
        <v>8.9152637863079143E-3</v>
      </c>
      <c r="L480" s="81">
        <f t="shared" si="327"/>
        <v>117.00814325248108</v>
      </c>
      <c r="M480" s="82">
        <f t="shared" si="328"/>
        <v>125.78251445273577</v>
      </c>
    </row>
    <row r="481" spans="1:13" ht="15" thickBot="1" x14ac:dyDescent="0.35">
      <c r="A481" s="60">
        <v>46021</v>
      </c>
      <c r="B481" s="68" vm="340">
        <v>161125.37</v>
      </c>
      <c r="C481" s="68">
        <v>156832.99</v>
      </c>
      <c r="D481" s="68">
        <v>2.0966196300000002</v>
      </c>
      <c r="E481" s="79">
        <f t="shared" ref="E481:E537" si="329">D481/D480-1</f>
        <v>3.2308362346455954E-3</v>
      </c>
      <c r="F481" s="79">
        <f t="shared" ref="F481:F537" si="330">B481/B480-1</f>
        <v>3.9570615794226605E-3</v>
      </c>
      <c r="G481" s="79">
        <f t="shared" ref="G481:G537" si="331">D481/$D$2-1</f>
        <v>0.17386177401449787</v>
      </c>
      <c r="H481" s="79">
        <f t="shared" ref="H481:H537" si="332">B481/$B$2-1</f>
        <v>0.26280243608039866</v>
      </c>
      <c r="I481" s="80" t="str">
        <f t="shared" ref="I481:I537" si="333">TEXT(A481,"mmaaaa")</f>
        <v>122025</v>
      </c>
      <c r="J481" s="79">
        <f t="shared" ref="J481:J537" si="334">IF(I481=I480,(1+E481)*(1+J480)-1,E481)</f>
        <v>3.3025347571639108E-2</v>
      </c>
      <c r="K481" s="79">
        <f t="shared" ref="K481:K537" si="335">IF(I481=I480,(1+F481)*(1+K480)-1,F481)</f>
        <v>1.2907603613529828E-2</v>
      </c>
      <c r="L481" s="81">
        <f t="shared" ref="L481:L537" si="336">L480*(1+E481)</f>
        <v>117.3861774014498</v>
      </c>
      <c r="M481" s="82">
        <f t="shared" ref="M481:M537" si="337">M480*(1+F481)</f>
        <v>126.28024360803987</v>
      </c>
    </row>
    <row r="482" spans="1:13" ht="15" thickBot="1" x14ac:dyDescent="0.35">
      <c r="A482" s="60">
        <v>46022</v>
      </c>
      <c r="B482" s="68" vm="340">
        <v>161125.37</v>
      </c>
      <c r="C482" s="68">
        <v>156830.54</v>
      </c>
      <c r="D482" s="68">
        <v>2.0965868799999998</v>
      </c>
      <c r="E482" s="79">
        <f t="shared" si="329"/>
        <v>-1.562038222469031E-5</v>
      </c>
      <c r="F482" s="79">
        <f t="shared" si="330"/>
        <v>0</v>
      </c>
      <c r="G482" s="79">
        <f t="shared" si="331"/>
        <v>0.17384343784490874</v>
      </c>
      <c r="H482" s="79">
        <f t="shared" si="332"/>
        <v>0.26280243608039866</v>
      </c>
      <c r="I482" s="80" t="str">
        <f t="shared" si="333"/>
        <v>122025</v>
      </c>
      <c r="J482" s="79">
        <f t="shared" si="334"/>
        <v>3.3009211320862208E-2</v>
      </c>
      <c r="K482" s="79">
        <f t="shared" si="335"/>
        <v>1.2907603613529828E-2</v>
      </c>
      <c r="L482" s="81">
        <f t="shared" si="336"/>
        <v>117.38434378449089</v>
      </c>
      <c r="M482" s="82">
        <f t="shared" si="337"/>
        <v>126.28024360803987</v>
      </c>
    </row>
    <row r="483" spans="1:13" ht="15" thickBot="1" x14ac:dyDescent="0.35">
      <c r="A483" s="60">
        <v>46024</v>
      </c>
      <c r="B483" s="68" vm="341">
        <v>160538.69</v>
      </c>
      <c r="C483" s="68">
        <v>155769.93</v>
      </c>
      <c r="D483" s="68">
        <v>2.0824081300000001</v>
      </c>
      <c r="E483" s="79">
        <f t="shared" si="329"/>
        <v>-6.7627772239038375E-3</v>
      </c>
      <c r="F483" s="79">
        <f t="shared" si="330"/>
        <v>-3.6411398155361541E-3</v>
      </c>
      <c r="G483" s="79">
        <f t="shared" si="331"/>
        <v>0.16590499617902221</v>
      </c>
      <c r="H483" s="79">
        <f t="shared" si="332"/>
        <v>0.25820439585123034</v>
      </c>
      <c r="I483" s="80" t="str">
        <f t="shared" si="333"/>
        <v>012026</v>
      </c>
      <c r="J483" s="79">
        <f t="shared" si="334"/>
        <v>-6.7627772239038375E-3</v>
      </c>
      <c r="K483" s="79">
        <f t="shared" si="335"/>
        <v>-3.6411398155361541E-3</v>
      </c>
      <c r="L483" s="81">
        <f t="shared" si="336"/>
        <v>116.59049961790224</v>
      </c>
      <c r="M483" s="82">
        <f t="shared" si="337"/>
        <v>125.82043958512303</v>
      </c>
    </row>
    <row r="484" spans="1:13" ht="15" thickBot="1" x14ac:dyDescent="0.35">
      <c r="A484" s="60">
        <v>46027</v>
      </c>
      <c r="B484" s="68" vm="342">
        <v>161869.76000000001</v>
      </c>
      <c r="C484" s="68">
        <v>156639.45000000001</v>
      </c>
      <c r="D484" s="68">
        <v>2.0940322999999998</v>
      </c>
      <c r="E484" s="79">
        <f t="shared" si="329"/>
        <v>5.5820805885922198E-3</v>
      </c>
      <c r="F484" s="79">
        <f t="shared" si="330"/>
        <v>8.2912723406427524E-3</v>
      </c>
      <c r="G484" s="79">
        <f t="shared" si="331"/>
        <v>0.17241317182633598</v>
      </c>
      <c r="H484" s="79">
        <f t="shared" si="332"/>
        <v>0.26863651115742671</v>
      </c>
      <c r="I484" s="80" t="str">
        <f t="shared" si="333"/>
        <v>012026</v>
      </c>
      <c r="J484" s="79">
        <f t="shared" si="334"/>
        <v>-1.218447002778178E-3</v>
      </c>
      <c r="K484" s="79">
        <f t="shared" si="335"/>
        <v>4.619942843265612E-3</v>
      </c>
      <c r="L484" s="81">
        <f t="shared" si="336"/>
        <v>117.24131718263359</v>
      </c>
      <c r="M484" s="82">
        <f t="shared" si="337"/>
        <v>126.86365111574267</v>
      </c>
    </row>
    <row r="485" spans="1:13" ht="15" thickBot="1" x14ac:dyDescent="0.35">
      <c r="A485" s="60">
        <v>46028</v>
      </c>
      <c r="B485" s="68" vm="343">
        <v>163663.88</v>
      </c>
      <c r="C485" s="68">
        <v>158589.18</v>
      </c>
      <c r="D485" s="68">
        <v>2.1200972299999998</v>
      </c>
      <c r="E485" s="79">
        <f t="shared" si="329"/>
        <v>1.2447243531057195E-2</v>
      </c>
      <c r="F485" s="79">
        <f t="shared" si="330"/>
        <v>1.1083725582838877E-2</v>
      </c>
      <c r="G485" s="79">
        <f t="shared" si="331"/>
        <v>0.18700648409507759</v>
      </c>
      <c r="H485" s="79">
        <f t="shared" si="332"/>
        <v>0.28269773011146571</v>
      </c>
      <c r="I485" s="80" t="str">
        <f t="shared" si="333"/>
        <v>012026</v>
      </c>
      <c r="J485" s="79">
        <f t="shared" si="334"/>
        <v>1.121363022170585E-2</v>
      </c>
      <c r="K485" s="79">
        <f t="shared" si="335"/>
        <v>1.575487460478775E-2</v>
      </c>
      <c r="L485" s="81">
        <f t="shared" si="336"/>
        <v>118.70064840950775</v>
      </c>
      <c r="M485" s="82">
        <f t="shared" si="337"/>
        <v>128.26977301114658</v>
      </c>
    </row>
    <row r="486" spans="1:13" ht="15" thickBot="1" x14ac:dyDescent="0.35">
      <c r="A486" s="60">
        <v>46029</v>
      </c>
      <c r="B486" s="68" vm="344">
        <v>161975.24</v>
      </c>
      <c r="C486" s="68">
        <v>156832.01999999999</v>
      </c>
      <c r="D486" s="68">
        <v>2.0966066699999999</v>
      </c>
      <c r="E486" s="79">
        <f t="shared" si="329"/>
        <v>-1.1079944668386688E-2</v>
      </c>
      <c r="F486" s="79">
        <f t="shared" si="330"/>
        <v>-1.0317731682763509E-2</v>
      </c>
      <c r="G486" s="79">
        <f t="shared" si="331"/>
        <v>0.17385451793028794</v>
      </c>
      <c r="H486" s="79">
        <f t="shared" si="332"/>
        <v>0.26946319910208572</v>
      </c>
      <c r="I486" s="80" t="str">
        <f t="shared" si="333"/>
        <v>012026</v>
      </c>
      <c r="J486" s="79">
        <f t="shared" si="334"/>
        <v>9.4391509308788812E-6</v>
      </c>
      <c r="K486" s="79">
        <f t="shared" si="335"/>
        <v>5.2745883531564175E-3</v>
      </c>
      <c r="L486" s="81">
        <f t="shared" si="336"/>
        <v>117.38545179302878</v>
      </c>
      <c r="M486" s="82">
        <f t="shared" si="337"/>
        <v>126.94631991020859</v>
      </c>
    </row>
    <row r="487" spans="1:13" ht="15" thickBot="1" x14ac:dyDescent="0.35">
      <c r="A487" s="60">
        <v>46030</v>
      </c>
      <c r="B487" s="68" vm="345">
        <v>162936.48000000001</v>
      </c>
      <c r="C487" s="68">
        <v>157369.70000000001</v>
      </c>
      <c r="D487" s="68">
        <v>2.1037946299999999</v>
      </c>
      <c r="E487" s="79">
        <f t="shared" si="329"/>
        <v>3.4283779131543124E-3</v>
      </c>
      <c r="F487" s="79">
        <f t="shared" si="330"/>
        <v>5.9344872710176411E-3</v>
      </c>
      <c r="G487" s="79">
        <f t="shared" si="331"/>
        <v>0.17787893483281647</v>
      </c>
      <c r="H487" s="79">
        <f t="shared" si="332"/>
        <v>0.27699681229818229</v>
      </c>
      <c r="I487" s="80" t="str">
        <f t="shared" si="333"/>
        <v>012026</v>
      </c>
      <c r="J487" s="79">
        <f t="shared" si="334"/>
        <v>3.4378494250617564E-3</v>
      </c>
      <c r="K487" s="79">
        <f t="shared" si="335"/>
        <v>1.124037760161567E-2</v>
      </c>
      <c r="L487" s="81">
        <f t="shared" si="336"/>
        <v>117.78789348328164</v>
      </c>
      <c r="M487" s="82">
        <f t="shared" si="337"/>
        <v>127.69968122981825</v>
      </c>
    </row>
    <row r="488" spans="1:13" ht="15" thickBot="1" x14ac:dyDescent="0.35">
      <c r="A488" s="60">
        <v>46031</v>
      </c>
      <c r="B488" s="68" vm="346">
        <v>163370.31</v>
      </c>
      <c r="C488" s="68">
        <v>158119.22</v>
      </c>
      <c r="D488" s="68">
        <v>2.1138145800000001</v>
      </c>
      <c r="E488" s="79">
        <f t="shared" si="329"/>
        <v>4.7627985436964337E-3</v>
      </c>
      <c r="F488" s="79">
        <f t="shared" si="330"/>
        <v>2.6625713284096353E-3</v>
      </c>
      <c r="G488" s="79">
        <f t="shared" si="331"/>
        <v>0.18348893490828888</v>
      </c>
      <c r="H488" s="79">
        <f t="shared" si="332"/>
        <v>0.28039690739707801</v>
      </c>
      <c r="I488" s="80" t="str">
        <f t="shared" si="333"/>
        <v>012026</v>
      </c>
      <c r="J488" s="79">
        <f t="shared" si="334"/>
        <v>8.2170217529933254E-3</v>
      </c>
      <c r="K488" s="79">
        <f t="shared" si="335"/>
        <v>1.3932877237147867E-2</v>
      </c>
      <c r="L488" s="81">
        <f t="shared" si="336"/>
        <v>118.34889349082889</v>
      </c>
      <c r="M488" s="82">
        <f t="shared" si="337"/>
        <v>128.03969073970782</v>
      </c>
    </row>
    <row r="489" spans="1:13" ht="15" thickBot="1" x14ac:dyDescent="0.35">
      <c r="A489" s="60">
        <v>46034</v>
      </c>
      <c r="B489" s="68" vm="347">
        <v>163150.35</v>
      </c>
      <c r="C489" s="68">
        <v>158047.71</v>
      </c>
      <c r="D489" s="68">
        <v>2.1128586</v>
      </c>
      <c r="E489" s="79">
        <f t="shared" si="329"/>
        <v>-4.5225348005695221E-4</v>
      </c>
      <c r="F489" s="79">
        <f t="shared" si="330"/>
        <v>-1.3463890715516014E-3</v>
      </c>
      <c r="G489" s="79">
        <f t="shared" si="331"/>
        <v>0.18295369791886773</v>
      </c>
      <c r="H489" s="79">
        <f t="shared" si="332"/>
        <v>0.27867299499371012</v>
      </c>
      <c r="I489" s="80" t="str">
        <f t="shared" si="333"/>
        <v>012026</v>
      </c>
      <c r="J489" s="79">
        <f t="shared" si="334"/>
        <v>7.761052096252774E-3</v>
      </c>
      <c r="K489" s="79">
        <f t="shared" si="335"/>
        <v>1.2567729091948809E-2</v>
      </c>
      <c r="L489" s="81">
        <f t="shared" si="336"/>
        <v>118.29536979188677</v>
      </c>
      <c r="M489" s="82">
        <f t="shared" si="337"/>
        <v>127.86729949937103</v>
      </c>
    </row>
    <row r="490" spans="1:13" ht="15" thickBot="1" x14ac:dyDescent="0.35">
      <c r="A490" s="60">
        <v>46035</v>
      </c>
      <c r="B490" s="68" vm="348">
        <v>161973.04999999999</v>
      </c>
      <c r="C490" s="68">
        <v>156446.79999999999</v>
      </c>
      <c r="D490" s="68">
        <v>2.0914568600000001</v>
      </c>
      <c r="E490" s="79">
        <f t="shared" si="329"/>
        <v>-1.0129281722875305E-2</v>
      </c>
      <c r="F490" s="79">
        <f t="shared" si="330"/>
        <v>-7.2160433612310504E-3</v>
      </c>
      <c r="G490" s="79">
        <f t="shared" si="331"/>
        <v>0.17097122664753028</v>
      </c>
      <c r="H490" s="79">
        <f t="shared" si="332"/>
        <v>0.26944603521700028</v>
      </c>
      <c r="I490" s="80" t="str">
        <f t="shared" si="333"/>
        <v>012026</v>
      </c>
      <c r="J490" s="79">
        <f t="shared" si="334"/>
        <v>-2.4468435097714236E-3</v>
      </c>
      <c r="K490" s="79">
        <f t="shared" si="335"/>
        <v>5.2609964526380004E-3</v>
      </c>
      <c r="L490" s="81">
        <f t="shared" si="336"/>
        <v>117.09712266475303</v>
      </c>
      <c r="M490" s="82">
        <f t="shared" si="337"/>
        <v>126.94460352170005</v>
      </c>
    </row>
    <row r="491" spans="1:13" ht="15" thickBot="1" x14ac:dyDescent="0.35">
      <c r="A491" s="60">
        <v>46036</v>
      </c>
      <c r="B491" s="68" vm="349">
        <v>165145.98000000001</v>
      </c>
      <c r="C491" s="68">
        <v>158913.59</v>
      </c>
      <c r="D491" s="68">
        <v>2.1244341100000002</v>
      </c>
      <c r="E491" s="79">
        <f t="shared" si="329"/>
        <v>1.5767597520514931E-2</v>
      </c>
      <c r="F491" s="79">
        <f t="shared" si="330"/>
        <v>1.9589246482671241E-2</v>
      </c>
      <c r="G491" s="79">
        <f t="shared" si="331"/>
        <v>0.18943462965741231</v>
      </c>
      <c r="H491" s="79">
        <f t="shared" si="332"/>
        <v>0.29431352649731579</v>
      </c>
      <c r="I491" s="80" t="str">
        <f t="shared" si="333"/>
        <v>012026</v>
      </c>
      <c r="J491" s="79">
        <f t="shared" si="334"/>
        <v>1.3282173167085798E-2</v>
      </c>
      <c r="K491" s="79">
        <f t="shared" si="335"/>
        <v>2.4953301891564417E-2</v>
      </c>
      <c r="L491" s="81">
        <f t="shared" si="336"/>
        <v>118.94346296574122</v>
      </c>
      <c r="M491" s="82">
        <f t="shared" si="337"/>
        <v>129.43135264973159</v>
      </c>
    </row>
    <row r="492" spans="1:13" ht="15" thickBot="1" x14ac:dyDescent="0.35">
      <c r="A492" s="60">
        <v>46037</v>
      </c>
      <c r="B492" s="68" vm="350">
        <v>165568.32000000001</v>
      </c>
      <c r="C492" s="68">
        <v>159332.95000000001</v>
      </c>
      <c r="D492" s="68">
        <v>2.13004031</v>
      </c>
      <c r="E492" s="79">
        <f t="shared" si="329"/>
        <v>2.6389145107446055E-3</v>
      </c>
      <c r="F492" s="79">
        <f t="shared" si="330"/>
        <v>2.557373785301964E-3</v>
      </c>
      <c r="G492" s="79">
        <f t="shared" si="331"/>
        <v>0.19257344596119741</v>
      </c>
      <c r="H492" s="79">
        <f t="shared" si="332"/>
        <v>0.29762356997994166</v>
      </c>
      <c r="I492" s="80" t="str">
        <f t="shared" si="333"/>
        <v>012026</v>
      </c>
      <c r="J492" s="79">
        <f t="shared" si="334"/>
        <v>1.5956138197335212E-2</v>
      </c>
      <c r="K492" s="79">
        <f t="shared" si="335"/>
        <v>2.7574490596980583E-2</v>
      </c>
      <c r="L492" s="81">
        <f t="shared" si="336"/>
        <v>119.25734459611972</v>
      </c>
      <c r="M492" s="82">
        <f t="shared" si="337"/>
        <v>129.7623569979942</v>
      </c>
    </row>
    <row r="493" spans="1:13" ht="15" thickBot="1" x14ac:dyDescent="0.35">
      <c r="A493" s="60">
        <v>46038</v>
      </c>
      <c r="B493" s="68" vm="351">
        <v>164799.98000000001</v>
      </c>
      <c r="C493" s="68">
        <v>158686.10999999999</v>
      </c>
      <c r="D493" s="68">
        <v>2.1213930400000001</v>
      </c>
      <c r="E493" s="79">
        <f t="shared" si="329"/>
        <v>-4.0596743448484407E-3</v>
      </c>
      <c r="F493" s="79">
        <f t="shared" si="330"/>
        <v>-4.6406220706955992E-3</v>
      </c>
      <c r="G493" s="79">
        <f t="shared" si="331"/>
        <v>0.18773198613828135</v>
      </c>
      <c r="H493" s="79">
        <f t="shared" si="332"/>
        <v>0.29160178940163806</v>
      </c>
      <c r="I493" s="80" t="str">
        <f t="shared" si="333"/>
        <v>012026</v>
      </c>
      <c r="J493" s="79">
        <f t="shared" si="334"/>
        <v>1.1831687127604296E-2</v>
      </c>
      <c r="K493" s="79">
        <f t="shared" si="335"/>
        <v>2.2805905736632548E-2</v>
      </c>
      <c r="L493" s="81">
        <f t="shared" si="336"/>
        <v>118.7731986138281</v>
      </c>
      <c r="M493" s="82">
        <f t="shared" si="337"/>
        <v>129.16017894016383</v>
      </c>
    </row>
    <row r="494" spans="1:13" ht="15" thickBot="1" x14ac:dyDescent="0.35">
      <c r="A494" s="60">
        <v>46041</v>
      </c>
      <c r="B494" s="68" vm="352">
        <v>164849.26999999999</v>
      </c>
      <c r="C494" s="68">
        <v>158684.01</v>
      </c>
      <c r="D494" s="68">
        <v>2.1213649700000001</v>
      </c>
      <c r="E494" s="79">
        <f t="shared" si="329"/>
        <v>-1.3231871449859156E-5</v>
      </c>
      <c r="F494" s="79">
        <f t="shared" si="330"/>
        <v>2.9908984212245748E-4</v>
      </c>
      <c r="G494" s="79">
        <f t="shared" si="331"/>
        <v>0.18771627022132376</v>
      </c>
      <c r="H494" s="79">
        <f t="shared" si="332"/>
        <v>0.29198809437691509</v>
      </c>
      <c r="I494" s="80" t="str">
        <f t="shared" si="333"/>
        <v>012026</v>
      </c>
      <c r="J494" s="79">
        <f t="shared" si="334"/>
        <v>1.1818298700791319E-2</v>
      </c>
      <c r="K494" s="79">
        <f t="shared" si="335"/>
        <v>2.3111816593501144E-2</v>
      </c>
      <c r="L494" s="81">
        <f t="shared" si="336"/>
        <v>118.77162702213235</v>
      </c>
      <c r="M494" s="82">
        <f t="shared" si="337"/>
        <v>129.19880943769155</v>
      </c>
    </row>
    <row r="495" spans="1:13" ht="15" thickBot="1" x14ac:dyDescent="0.35">
      <c r="A495" s="60">
        <v>46042</v>
      </c>
      <c r="B495" s="68" vm="353">
        <v>166276.9</v>
      </c>
      <c r="C495" s="68">
        <v>159927.56</v>
      </c>
      <c r="D495" s="68">
        <v>2.1379893499999998</v>
      </c>
      <c r="E495" s="79">
        <f t="shared" si="329"/>
        <v>7.8366430270599974E-3</v>
      </c>
      <c r="F495" s="79">
        <f t="shared" si="330"/>
        <v>8.6602142672516091E-3</v>
      </c>
      <c r="G495" s="79">
        <f t="shared" si="331"/>
        <v>0.19702397864847931</v>
      </c>
      <c r="H495" s="79">
        <f t="shared" si="332"/>
        <v>0.3031769881049573</v>
      </c>
      <c r="I495" s="80" t="str">
        <f t="shared" si="333"/>
        <v>012026</v>
      </c>
      <c r="J495" s="79">
        <f t="shared" si="334"/>
        <v>1.9747557515956693E-2</v>
      </c>
      <c r="K495" s="79">
        <f t="shared" si="335"/>
        <v>3.1972184144557936E-2</v>
      </c>
      <c r="L495" s="81">
        <f t="shared" si="336"/>
        <v>119.70239786484791</v>
      </c>
      <c r="M495" s="82">
        <f t="shared" si="337"/>
        <v>130.31769881049576</v>
      </c>
    </row>
    <row r="496" spans="1:13" ht="15" thickBot="1" x14ac:dyDescent="0.35">
      <c r="A496" s="60">
        <v>46043</v>
      </c>
      <c r="B496" s="68" vm="354">
        <v>171816.67</v>
      </c>
      <c r="C496" s="68">
        <v>164009.51</v>
      </c>
      <c r="D496" s="68">
        <v>2.1925588399999998</v>
      </c>
      <c r="E496" s="79">
        <f t="shared" si="329"/>
        <v>2.5523742669719018E-2</v>
      </c>
      <c r="F496" s="79">
        <f t="shared" si="330"/>
        <v>3.3316534046521351E-2</v>
      </c>
      <c r="G496" s="79">
        <f t="shared" si="331"/>
        <v>0.22757651064898643</v>
      </c>
      <c r="H496" s="79">
        <f t="shared" si="332"/>
        <v>0.34659432859779926</v>
      </c>
      <c r="I496" s="80" t="str">
        <f t="shared" si="333"/>
        <v>012026</v>
      </c>
      <c r="J496" s="79">
        <f t="shared" si="334"/>
        <v>4.5775331762068383E-2</v>
      </c>
      <c r="K496" s="79">
        <f t="shared" si="335"/>
        <v>6.6353920552673085E-2</v>
      </c>
      <c r="L496" s="81">
        <f t="shared" si="336"/>
        <v>122.75765106489861</v>
      </c>
      <c r="M496" s="82">
        <f t="shared" si="337"/>
        <v>134.65943285977994</v>
      </c>
    </row>
    <row r="497" spans="1:13" ht="15" thickBot="1" x14ac:dyDescent="0.35">
      <c r="A497" s="60">
        <v>46044</v>
      </c>
      <c r="B497" s="68" vm="355">
        <v>175589.35</v>
      </c>
      <c r="C497" s="68">
        <v>166104.06</v>
      </c>
      <c r="D497" s="68">
        <v>2.2205598000000002</v>
      </c>
      <c r="E497" s="79">
        <f t="shared" si="329"/>
        <v>1.2770904702379848E-2</v>
      </c>
      <c r="F497" s="79">
        <f t="shared" si="330"/>
        <v>2.1957590028953478E-2</v>
      </c>
      <c r="G497" s="79">
        <f t="shared" si="331"/>
        <v>0.24325377328136466</v>
      </c>
      <c r="H497" s="79">
        <f t="shared" si="332"/>
        <v>0.37616229480046348</v>
      </c>
      <c r="I497" s="80" t="str">
        <f t="shared" si="333"/>
        <v>012026</v>
      </c>
      <c r="J497" s="79">
        <f t="shared" si="334"/>
        <v>5.9130828864101481E-2</v>
      </c>
      <c r="K497" s="79">
        <f t="shared" si="335"/>
        <v>8.9768482765935964E-2</v>
      </c>
      <c r="L497" s="81">
        <f t="shared" si="336"/>
        <v>124.32537732813643</v>
      </c>
      <c r="M497" s="82">
        <f t="shared" si="337"/>
        <v>137.61622948004637</v>
      </c>
    </row>
    <row r="498" spans="1:13" ht="15" thickBot="1" x14ac:dyDescent="0.35">
      <c r="A498" s="60">
        <v>46045</v>
      </c>
      <c r="B498" s="68" vm="356">
        <v>178858.54</v>
      </c>
      <c r="C498" s="68">
        <v>168369.43</v>
      </c>
      <c r="D498" s="68">
        <v>2.2508443699999998</v>
      </c>
      <c r="E498" s="79">
        <f t="shared" si="329"/>
        <v>1.3638259145283715E-2</v>
      </c>
      <c r="F498" s="79">
        <f t="shared" si="330"/>
        <v>1.861838431544971E-2</v>
      </c>
      <c r="G498" s="79">
        <f t="shared" si="331"/>
        <v>0.26020959042472791</v>
      </c>
      <c r="H498" s="79">
        <f t="shared" si="332"/>
        <v>0.40178421328548963</v>
      </c>
      <c r="I498" s="80" t="str">
        <f t="shared" si="333"/>
        <v>012026</v>
      </c>
      <c r="J498" s="79">
        <f t="shared" si="334"/>
        <v>7.357552957690916E-2</v>
      </c>
      <c r="K498" s="79">
        <f t="shared" si="335"/>
        <v>0.11005821119293668</v>
      </c>
      <c r="L498" s="81">
        <f t="shared" si="336"/>
        <v>126.02095904247273</v>
      </c>
      <c r="M498" s="82">
        <f t="shared" si="337"/>
        <v>140.17842132854901</v>
      </c>
    </row>
    <row r="499" spans="1:13" ht="15" thickBot="1" x14ac:dyDescent="0.35">
      <c r="A499" s="60">
        <v>46048</v>
      </c>
      <c r="B499" s="68" vm="357">
        <v>178720.68</v>
      </c>
      <c r="C499" s="68">
        <v>168084.26</v>
      </c>
      <c r="D499" s="68">
        <v>2.2470320799999999</v>
      </c>
      <c r="E499" s="79">
        <f t="shared" si="329"/>
        <v>-1.6937155010854354E-3</v>
      </c>
      <c r="F499" s="79">
        <f t="shared" si="330"/>
        <v>-7.7077672668024455E-4</v>
      </c>
      <c r="G499" s="79">
        <f t="shared" si="331"/>
        <v>0.25807515390680891</v>
      </c>
      <c r="H499" s="79">
        <f t="shared" si="332"/>
        <v>0.40070375063806152</v>
      </c>
      <c r="I499" s="80" t="str">
        <f t="shared" si="333"/>
        <v>012026</v>
      </c>
      <c r="J499" s="79">
        <f t="shared" si="334"/>
        <v>7.1757198060878657E-2</v>
      </c>
      <c r="K499" s="79">
        <f t="shared" si="335"/>
        <v>0.10920260415848881</v>
      </c>
      <c r="L499" s="81">
        <f t="shared" si="336"/>
        <v>125.80751539068083</v>
      </c>
      <c r="M499" s="82">
        <f t="shared" si="337"/>
        <v>140.07037506380618</v>
      </c>
    </row>
    <row r="500" spans="1:13" ht="15" thickBot="1" x14ac:dyDescent="0.35">
      <c r="A500" s="60">
        <v>46049</v>
      </c>
      <c r="B500" s="68" vm="358">
        <v>181919.13</v>
      </c>
      <c r="C500" s="68">
        <v>169078.73</v>
      </c>
      <c r="D500" s="68">
        <v>2.2603266400000002</v>
      </c>
      <c r="E500" s="79">
        <f t="shared" si="329"/>
        <v>5.9164976407459768E-3</v>
      </c>
      <c r="F500" s="79">
        <f t="shared" si="330"/>
        <v>1.7896362077404859E-2</v>
      </c>
      <c r="G500" s="79">
        <f t="shared" si="331"/>
        <v>0.26551855258677959</v>
      </c>
      <c r="H500" s="79">
        <f t="shared" si="332"/>
        <v>0.42577125212265932</v>
      </c>
      <c r="I500" s="80" t="str">
        <f t="shared" si="333"/>
        <v>012026</v>
      </c>
      <c r="J500" s="79">
        <f t="shared" si="334"/>
        <v>7.8098246994658282E-2</v>
      </c>
      <c r="K500" s="79">
        <f t="shared" si="335"/>
        <v>0.12905329557970946</v>
      </c>
      <c r="L500" s="81">
        <f t="shared" si="336"/>
        <v>126.5518552586779</v>
      </c>
      <c r="M500" s="82">
        <f t="shared" si="337"/>
        <v>142.57712521226597</v>
      </c>
    </row>
    <row r="501" spans="1:13" ht="15" thickBot="1" x14ac:dyDescent="0.35">
      <c r="A501" s="60">
        <v>46050</v>
      </c>
      <c r="B501" s="68" vm="359">
        <v>184691.05</v>
      </c>
      <c r="C501" s="68">
        <v>171818.96</v>
      </c>
      <c r="D501" s="68">
        <v>2.2969593599999998</v>
      </c>
      <c r="E501" s="79">
        <f t="shared" si="329"/>
        <v>1.6206825753290133E-2</v>
      </c>
      <c r="F501" s="79">
        <f t="shared" si="330"/>
        <v>1.5237100133449255E-2</v>
      </c>
      <c r="G501" s="79">
        <f t="shared" si="331"/>
        <v>0.28602859125610935</v>
      </c>
      <c r="H501" s="79">
        <f t="shared" si="332"/>
        <v>0.44749587145864567</v>
      </c>
      <c r="I501" s="80" t="str">
        <f t="shared" si="333"/>
        <v>012026</v>
      </c>
      <c r="J501" s="79">
        <f t="shared" si="334"/>
        <v>9.5570797428628174E-2</v>
      </c>
      <c r="K501" s="79">
        <f t="shared" si="335"/>
        <v>0.14625679370045841</v>
      </c>
      <c r="L501" s="81">
        <f t="shared" si="336"/>
        <v>128.60285912561088</v>
      </c>
      <c r="M501" s="82">
        <f t="shared" si="337"/>
        <v>144.74958714586461</v>
      </c>
    </row>
    <row r="502" spans="1:13" ht="15" thickBot="1" x14ac:dyDescent="0.35">
      <c r="A502" s="60">
        <v>46051</v>
      </c>
      <c r="B502" s="68" vm="360">
        <v>183133.75</v>
      </c>
      <c r="C502" s="68">
        <v>171104.53</v>
      </c>
      <c r="D502" s="68">
        <v>2.2874085200000001</v>
      </c>
      <c r="E502" s="79">
        <f t="shared" si="329"/>
        <v>-4.1580361265075583E-3</v>
      </c>
      <c r="F502" s="79">
        <f t="shared" si="330"/>
        <v>-8.4319191428062767E-3</v>
      </c>
      <c r="G502" s="79">
        <f t="shared" si="331"/>
        <v>0.28068123791394473</v>
      </c>
      <c r="H502" s="79">
        <f t="shared" si="332"/>
        <v>0.43529070331096031</v>
      </c>
      <c r="I502" s="80" t="str">
        <f t="shared" si="333"/>
        <v>012026</v>
      </c>
      <c r="J502" s="79">
        <f t="shared" si="334"/>
        <v>9.101537447377317E-2</v>
      </c>
      <c r="K502" s="79">
        <f t="shared" si="335"/>
        <v>0.13659164909908372</v>
      </c>
      <c r="L502" s="81">
        <f t="shared" si="336"/>
        <v>128.06812379139441</v>
      </c>
      <c r="M502" s="82">
        <f t="shared" si="337"/>
        <v>143.52907033109608</v>
      </c>
    </row>
    <row r="503" spans="1:13" ht="15" thickBot="1" x14ac:dyDescent="0.35">
      <c r="A503" s="60">
        <v>46052</v>
      </c>
      <c r="B503" s="68" vm="361">
        <v>181363.9</v>
      </c>
      <c r="C503" s="68">
        <v>169419.92</v>
      </c>
      <c r="D503" s="68">
        <v>2.2648878300000002</v>
      </c>
      <c r="E503" s="79">
        <f t="shared" si="329"/>
        <v>-9.8455041165973478E-3</v>
      </c>
      <c r="F503" s="79">
        <f t="shared" si="330"/>
        <v>-9.6642481246630441E-3</v>
      </c>
      <c r="G503" s="79">
        <f t="shared" si="331"/>
        <v>0.26807228551401407</v>
      </c>
      <c r="H503" s="79">
        <f t="shared" si="332"/>
        <v>0.42141969782314126</v>
      </c>
      <c r="I503" s="80" t="str">
        <f t="shared" si="333"/>
        <v>012026</v>
      </c>
      <c r="J503" s="79">
        <f t="shared" si="334"/>
        <v>8.0273778113120642E-2</v>
      </c>
      <c r="K503" s="79">
        <f t="shared" si="335"/>
        <v>0.12560734538577023</v>
      </c>
      <c r="L503" s="81">
        <f t="shared" si="336"/>
        <v>126.80722855140134</v>
      </c>
      <c r="M503" s="82">
        <f t="shared" si="337"/>
        <v>142.14196978231416</v>
      </c>
    </row>
    <row r="504" spans="1:13" ht="15" thickBot="1" x14ac:dyDescent="0.35">
      <c r="A504" s="60">
        <v>46055</v>
      </c>
      <c r="B504" s="68" vm="362">
        <v>182793.4</v>
      </c>
      <c r="C504" s="68">
        <v>170651.97</v>
      </c>
      <c r="D504" s="68">
        <v>2.2813584699999998</v>
      </c>
      <c r="E504" s="79">
        <f t="shared" si="329"/>
        <v>7.2721658802854527E-3</v>
      </c>
      <c r="F504" s="79">
        <f t="shared" si="330"/>
        <v>7.881943429756344E-3</v>
      </c>
      <c r="G504" s="79">
        <f t="shared" si="331"/>
        <v>0.27729391752246446</v>
      </c>
      <c r="H504" s="79">
        <f t="shared" si="332"/>
        <v>0.43262324747132475</v>
      </c>
      <c r="I504" s="80" t="str">
        <f t="shared" si="333"/>
        <v>022026</v>
      </c>
      <c r="J504" s="79">
        <f t="shared" si="334"/>
        <v>7.2721658802854527E-3</v>
      </c>
      <c r="K504" s="79">
        <f t="shared" si="335"/>
        <v>7.881943429756344E-3</v>
      </c>
      <c r="L504" s="81">
        <f t="shared" si="336"/>
        <v>127.7293917522464</v>
      </c>
      <c r="M504" s="82">
        <f t="shared" si="337"/>
        <v>143.26232474713251</v>
      </c>
    </row>
    <row r="505" spans="1:13" ht="15" thickBot="1" x14ac:dyDescent="0.35">
      <c r="A505" s="60">
        <v>46056</v>
      </c>
      <c r="B505" s="68" vm="363">
        <v>185674.43</v>
      </c>
      <c r="C505" s="68">
        <v>172767.94</v>
      </c>
      <c r="D505" s="68">
        <v>2.3096457899999998</v>
      </c>
      <c r="E505" s="79">
        <f t="shared" si="329"/>
        <v>1.2399331526360191E-2</v>
      </c>
      <c r="F505" s="79">
        <f t="shared" si="330"/>
        <v>1.576112704288013E-2</v>
      </c>
      <c r="G505" s="79">
        <f t="shared" si="331"/>
        <v>0.29313150826242906</v>
      </c>
      <c r="H505" s="79">
        <f t="shared" si="332"/>
        <v>0.45520300447930362</v>
      </c>
      <c r="I505" s="80" t="str">
        <f t="shared" si="333"/>
        <v>022026</v>
      </c>
      <c r="J505" s="79">
        <f t="shared" si="334"/>
        <v>1.9761667402310001E-2</v>
      </c>
      <c r="K505" s="79">
        <f t="shared" si="335"/>
        <v>2.3767298784377555E-2</v>
      </c>
      <c r="L505" s="81">
        <f t="shared" si="336"/>
        <v>129.31315082624283</v>
      </c>
      <c r="M505" s="82">
        <f t="shared" si="337"/>
        <v>145.52030044793042</v>
      </c>
    </row>
    <row r="506" spans="1:13" ht="15" thickBot="1" x14ac:dyDescent="0.35">
      <c r="A506" s="60">
        <v>46057</v>
      </c>
      <c r="B506" s="68" vm="364">
        <v>181708.23</v>
      </c>
      <c r="C506" s="68">
        <v>169331.46</v>
      </c>
      <c r="D506" s="68">
        <v>2.2637052500000001</v>
      </c>
      <c r="E506" s="79">
        <f t="shared" si="329"/>
        <v>-1.9890729651666494E-2</v>
      </c>
      <c r="F506" s="79">
        <f t="shared" si="330"/>
        <v>-2.1361045783202304E-2</v>
      </c>
      <c r="G506" s="79">
        <f t="shared" si="331"/>
        <v>0.26741017902752939</v>
      </c>
      <c r="H506" s="79">
        <f t="shared" si="332"/>
        <v>0.42411834647676772</v>
      </c>
      <c r="I506" s="80" t="str">
        <f t="shared" si="333"/>
        <v>022026</v>
      </c>
      <c r="J506" s="79">
        <f t="shared" si="334"/>
        <v>-5.2213623312202806E-4</v>
      </c>
      <c r="K506" s="79">
        <f t="shared" si="335"/>
        <v>1.8985586436990332E-3</v>
      </c>
      <c r="L506" s="81">
        <f t="shared" si="336"/>
        <v>126.74101790275286</v>
      </c>
      <c r="M506" s="82">
        <f t="shared" si="337"/>
        <v>142.41183464767684</v>
      </c>
    </row>
    <row r="507" spans="1:13" ht="15" thickBot="1" x14ac:dyDescent="0.35">
      <c r="A507" s="60">
        <v>46058</v>
      </c>
      <c r="B507" s="68" vm="365">
        <v>182127.25</v>
      </c>
      <c r="C507" s="68">
        <v>168409.07</v>
      </c>
      <c r="D507" s="68">
        <v>2.2513743000000002</v>
      </c>
      <c r="E507" s="79">
        <f t="shared" si="329"/>
        <v>-5.4472418615453266E-3</v>
      </c>
      <c r="F507" s="79">
        <f t="shared" si="330"/>
        <v>2.3060045216443115E-3</v>
      </c>
      <c r="G507" s="79">
        <f t="shared" si="331"/>
        <v>0.26050628924458197</v>
      </c>
      <c r="H507" s="79">
        <f t="shared" si="332"/>
        <v>0.42740236982309976</v>
      </c>
      <c r="I507" s="80" t="str">
        <f t="shared" si="333"/>
        <v>022026</v>
      </c>
      <c r="J507" s="79">
        <f t="shared" si="334"/>
        <v>-5.9665338923208244E-3</v>
      </c>
      <c r="K507" s="79">
        <f t="shared" si="335"/>
        <v>4.2089412501602474E-3</v>
      </c>
      <c r="L507" s="81">
        <f t="shared" si="336"/>
        <v>126.05062892445812</v>
      </c>
      <c r="M507" s="82">
        <f t="shared" si="337"/>
        <v>142.74023698231005</v>
      </c>
    </row>
    <row r="508" spans="1:13" ht="15" thickBot="1" x14ac:dyDescent="0.35">
      <c r="A508" s="60">
        <v>46059</v>
      </c>
      <c r="B508" s="68" vm="366">
        <v>182949.78</v>
      </c>
      <c r="C508" s="68">
        <v>170433.71</v>
      </c>
      <c r="D508" s="68">
        <v>2.2784406700000002</v>
      </c>
      <c r="E508" s="79">
        <f t="shared" si="329"/>
        <v>1.2022154645720207E-2</v>
      </c>
      <c r="F508" s="79">
        <f t="shared" si="330"/>
        <v>4.516237959997671E-3</v>
      </c>
      <c r="G508" s="79">
        <f t="shared" si="331"/>
        <v>0.27566029078578325</v>
      </c>
      <c r="H508" s="79">
        <f t="shared" si="332"/>
        <v>0.43384885858988564</v>
      </c>
      <c r="I508" s="80" t="str">
        <f t="shared" si="333"/>
        <v>022026</v>
      </c>
      <c r="J508" s="79">
        <f t="shared" si="334"/>
        <v>5.9838901602469186E-3</v>
      </c>
      <c r="K508" s="79">
        <f t="shared" si="335"/>
        <v>8.7441877904033127E-3</v>
      </c>
      <c r="L508" s="81">
        <f t="shared" si="336"/>
        <v>127.56602907857825</v>
      </c>
      <c r="M508" s="82">
        <f t="shared" si="337"/>
        <v>143.38488585898861</v>
      </c>
    </row>
    <row r="509" spans="1:13" ht="15" thickBot="1" x14ac:dyDescent="0.35">
      <c r="A509" s="60">
        <v>46062</v>
      </c>
      <c r="B509" s="68" vm="367">
        <v>186241.15</v>
      </c>
      <c r="C509" s="68">
        <v>170724.08</v>
      </c>
      <c r="D509" s="68">
        <v>2.2996179099999998</v>
      </c>
      <c r="E509" s="79">
        <f t="shared" si="329"/>
        <v>9.2946199033567822E-3</v>
      </c>
      <c r="F509" s="79">
        <f t="shared" si="330"/>
        <v>1.7990565498356981E-2</v>
      </c>
      <c r="G509" s="79">
        <f t="shared" si="331"/>
        <v>0.28751706831444257</v>
      </c>
      <c r="H509" s="79">
        <f t="shared" si="332"/>
        <v>0.4596446103950913</v>
      </c>
      <c r="I509" s="80" t="str">
        <f t="shared" si="333"/>
        <v>022026</v>
      </c>
      <c r="J509" s="79">
        <f t="shared" si="334"/>
        <v>1.5334128048186679E-2</v>
      </c>
      <c r="K509" s="79">
        <f t="shared" si="335"/>
        <v>2.6892066171933404E-2</v>
      </c>
      <c r="L509" s="81">
        <f t="shared" si="336"/>
        <v>128.75170683144421</v>
      </c>
      <c r="M509" s="82">
        <f t="shared" si="337"/>
        <v>145.96446103950919</v>
      </c>
    </row>
    <row r="510" spans="1:13" ht="15" thickBot="1" x14ac:dyDescent="0.35">
      <c r="A510" s="60">
        <v>46063</v>
      </c>
      <c r="B510" s="68" vm="368">
        <v>185929.33</v>
      </c>
      <c r="C510" s="68">
        <v>170851.67</v>
      </c>
      <c r="D510" s="68">
        <v>2.30133652</v>
      </c>
      <c r="E510" s="79">
        <f t="shared" si="329"/>
        <v>7.4734589277936081E-4</v>
      </c>
      <c r="F510" s="79">
        <f t="shared" si="330"/>
        <v>-1.6742808987165736E-3</v>
      </c>
      <c r="G510" s="79">
        <f t="shared" si="331"/>
        <v>0.28847928890733066</v>
      </c>
      <c r="H510" s="79">
        <f t="shared" si="332"/>
        <v>0.45720075530499238</v>
      </c>
      <c r="I510" s="80" t="str">
        <f t="shared" si="333"/>
        <v>022026</v>
      </c>
      <c r="J510" s="79">
        <f t="shared" si="334"/>
        <v>1.6092933838582235E-2</v>
      </c>
      <c r="K510" s="79">
        <f t="shared" si="335"/>
        <v>2.5172760400498095E-2</v>
      </c>
      <c r="L510" s="81">
        <f t="shared" si="336"/>
        <v>128.84792889073302</v>
      </c>
      <c r="M510" s="82">
        <f t="shared" si="337"/>
        <v>145.72007553049929</v>
      </c>
    </row>
    <row r="511" spans="1:13" ht="15" thickBot="1" x14ac:dyDescent="0.35">
      <c r="A511" s="60">
        <v>46064</v>
      </c>
      <c r="B511" s="68" vm="369">
        <v>189699.12</v>
      </c>
      <c r="C511" s="68">
        <v>173710.75</v>
      </c>
      <c r="D511" s="68">
        <v>2.3398477400000002</v>
      </c>
      <c r="E511" s="79">
        <f t="shared" si="329"/>
        <v>1.6734284475701244E-2</v>
      </c>
      <c r="F511" s="79">
        <f t="shared" si="330"/>
        <v>2.0275391730826042E-2</v>
      </c>
      <c r="G511" s="79">
        <f t="shared" si="331"/>
        <v>0.31004106786895513</v>
      </c>
      <c r="H511" s="79">
        <f t="shared" si="332"/>
        <v>0.48674607144925641</v>
      </c>
      <c r="I511" s="80" t="str">
        <f t="shared" si="333"/>
        <v>022026</v>
      </c>
      <c r="J511" s="79">
        <f t="shared" si="334"/>
        <v>3.3096522047187049E-2</v>
      </c>
      <c r="K511" s="79">
        <f t="shared" si="335"/>
        <v>4.5958539709390456E-2</v>
      </c>
      <c r="L511" s="81">
        <f t="shared" si="336"/>
        <v>131.00410678689548</v>
      </c>
      <c r="M511" s="82">
        <f t="shared" si="337"/>
        <v>148.67460714492572</v>
      </c>
    </row>
    <row r="512" spans="1:13" ht="15" thickBot="1" x14ac:dyDescent="0.35">
      <c r="A512" s="60">
        <v>46065</v>
      </c>
      <c r="B512" s="68" vm="370">
        <v>187766.42</v>
      </c>
      <c r="C512" s="68">
        <v>172247.96</v>
      </c>
      <c r="D512" s="68">
        <v>2.3201442600000002</v>
      </c>
      <c r="E512" s="79">
        <f t="shared" si="329"/>
        <v>-8.4208385285787779E-3</v>
      </c>
      <c r="F512" s="79">
        <f t="shared" si="330"/>
        <v>-1.0188239144177325E-2</v>
      </c>
      <c r="G512" s="79">
        <f t="shared" si="331"/>
        <v>0.29900942357062377</v>
      </c>
      <c r="H512" s="79">
        <f t="shared" si="332"/>
        <v>0.47159874692666537</v>
      </c>
      <c r="I512" s="80" t="str">
        <f t="shared" si="333"/>
        <v>022026</v>
      </c>
      <c r="J512" s="79">
        <f t="shared" si="334"/>
        <v>2.4396983050591459E-2</v>
      </c>
      <c r="K512" s="79">
        <f t="shared" si="335"/>
        <v>3.5302063971936581E-2</v>
      </c>
      <c r="L512" s="81">
        <f t="shared" si="336"/>
        <v>129.90094235706235</v>
      </c>
      <c r="M512" s="82">
        <f t="shared" si="337"/>
        <v>147.15987469266659</v>
      </c>
    </row>
    <row r="513" spans="1:13" ht="15" thickBot="1" x14ac:dyDescent="0.35">
      <c r="A513" s="60">
        <v>46066</v>
      </c>
      <c r="B513" s="68" vm="371">
        <v>186464.3</v>
      </c>
      <c r="C513" s="68">
        <v>171159.43</v>
      </c>
      <c r="D513" s="68">
        <v>2.3054819900000001</v>
      </c>
      <c r="E513" s="79">
        <f t="shared" si="329"/>
        <v>-6.3195510092980411E-3</v>
      </c>
      <c r="F513" s="79">
        <f t="shared" si="330"/>
        <v>-6.9347863158919498E-3</v>
      </c>
      <c r="G513" s="79">
        <f t="shared" si="331"/>
        <v>0.29080026725681019</v>
      </c>
      <c r="H513" s="79">
        <f t="shared" si="332"/>
        <v>0.46139352407399459</v>
      </c>
      <c r="I513" s="80" t="str">
        <f t="shared" si="333"/>
        <v>022026</v>
      </c>
      <c r="J513" s="79">
        <f t="shared" si="334"/>
        <v>1.7923254062432115E-2</v>
      </c>
      <c r="K513" s="79">
        <f t="shared" si="335"/>
        <v>2.8122465385889361E-2</v>
      </c>
      <c r="L513" s="81">
        <f t="shared" si="336"/>
        <v>129.08002672568099</v>
      </c>
      <c r="M513" s="82">
        <f t="shared" si="337"/>
        <v>146.13935240739951</v>
      </c>
    </row>
    <row r="514" spans="1:13" ht="15" thickBot="1" x14ac:dyDescent="0.35">
      <c r="A514" s="60">
        <v>46071</v>
      </c>
      <c r="B514" s="68" vm="372">
        <v>186016.31</v>
      </c>
      <c r="C514" s="68">
        <v>171056.25</v>
      </c>
      <c r="D514" s="68">
        <v>2.3040921700000001</v>
      </c>
      <c r="E514" s="79">
        <f t="shared" si="329"/>
        <v>-6.0283272913352892E-4</v>
      </c>
      <c r="F514" s="79">
        <f t="shared" si="330"/>
        <v>-2.4025510513272508E-3</v>
      </c>
      <c r="G514" s="79">
        <f t="shared" si="331"/>
        <v>0.29002213060893345</v>
      </c>
      <c r="H514" s="79">
        <f t="shared" si="332"/>
        <v>0.45788245152632778</v>
      </c>
      <c r="I514" s="80" t="str">
        <f t="shared" si="333"/>
        <v>022026</v>
      </c>
      <c r="J514" s="79">
        <f t="shared" si="334"/>
        <v>1.7309616609137102E-2</v>
      </c>
      <c r="K514" s="79">
        <f t="shared" si="335"/>
        <v>2.5652348675783365E-2</v>
      </c>
      <c r="L514" s="81">
        <f t="shared" si="336"/>
        <v>129.00221306089333</v>
      </c>
      <c r="M514" s="82">
        <f t="shared" si="337"/>
        <v>145.78824515263284</v>
      </c>
    </row>
    <row r="515" spans="1:13" ht="15" thickBot="1" x14ac:dyDescent="0.35">
      <c r="A515" s="60">
        <v>46072</v>
      </c>
      <c r="B515" s="68" vm="373">
        <v>188534.42</v>
      </c>
      <c r="C515" s="68">
        <v>173762.35</v>
      </c>
      <c r="D515" s="68">
        <v>2.3405427799999998</v>
      </c>
      <c r="E515" s="79">
        <f t="shared" si="329"/>
        <v>1.5819944390505825E-2</v>
      </c>
      <c r="F515" s="79">
        <f t="shared" si="330"/>
        <v>1.3537038768267173E-2</v>
      </c>
      <c r="G515" s="79">
        <f t="shared" si="331"/>
        <v>0.31043020897768869</v>
      </c>
      <c r="H515" s="79">
        <f t="shared" si="332"/>
        <v>0.47761786279221607</v>
      </c>
      <c r="I515" s="80" t="str">
        <f t="shared" si="333"/>
        <v>022026</v>
      </c>
      <c r="J515" s="79">
        <f t="shared" si="334"/>
        <v>3.3403398171820475E-2</v>
      </c>
      <c r="K515" s="79">
        <f t="shared" si="335"/>
        <v>3.9536644282571753E-2</v>
      </c>
      <c r="L515" s="81">
        <f t="shared" si="336"/>
        <v>131.04302089776886</v>
      </c>
      <c r="M515" s="82">
        <f t="shared" si="337"/>
        <v>147.76178627922167</v>
      </c>
    </row>
    <row r="516" spans="1:13" ht="15" thickBot="1" x14ac:dyDescent="0.35">
      <c r="A516" s="60">
        <v>46073</v>
      </c>
      <c r="B516" s="68" vm="374">
        <v>190534.42</v>
      </c>
      <c r="C516" s="68">
        <v>175283.88</v>
      </c>
      <c r="D516" s="68">
        <v>2.3610374699999999</v>
      </c>
      <c r="E516" s="79">
        <f t="shared" si="329"/>
        <v>8.7563834231647597E-3</v>
      </c>
      <c r="F516" s="79">
        <f t="shared" si="330"/>
        <v>1.0608142534397791E-2</v>
      </c>
      <c r="G516" s="79">
        <f t="shared" si="331"/>
        <v>0.32190483833679528</v>
      </c>
      <c r="H516" s="79">
        <f t="shared" si="332"/>
        <v>0.49329264369208814</v>
      </c>
      <c r="I516" s="80" t="str">
        <f t="shared" si="333"/>
        <v>022026</v>
      </c>
      <c r="J516" s="79">
        <f t="shared" si="334"/>
        <v>4.2452274557014391E-2</v>
      </c>
      <c r="K516" s="79">
        <f t="shared" si="335"/>
        <v>5.0564197174850944E-2</v>
      </c>
      <c r="L516" s="81">
        <f t="shared" si="336"/>
        <v>132.19048383367951</v>
      </c>
      <c r="M516" s="82">
        <f t="shared" si="337"/>
        <v>149.32926436920889</v>
      </c>
    </row>
    <row r="517" spans="1:13" ht="15" thickBot="1" x14ac:dyDescent="0.35">
      <c r="A517" s="60">
        <v>46076</v>
      </c>
      <c r="B517" s="68" vm="375">
        <v>188853.49</v>
      </c>
      <c r="C517" s="68">
        <v>173941.26</v>
      </c>
      <c r="D517" s="68">
        <v>2.3429526599999999</v>
      </c>
      <c r="E517" s="79">
        <f t="shared" si="329"/>
        <v>-7.65968784053217E-3</v>
      </c>
      <c r="F517" s="79">
        <f t="shared" si="330"/>
        <v>-8.8221855137776695E-3</v>
      </c>
      <c r="G517" s="79">
        <f t="shared" si="331"/>
        <v>0.31177945992024614</v>
      </c>
      <c r="H517" s="79">
        <f t="shared" si="332"/>
        <v>0.4801185389630771</v>
      </c>
      <c r="I517" s="80" t="str">
        <f t="shared" si="333"/>
        <v>022026</v>
      </c>
      <c r="J517" s="79">
        <f t="shared" si="334"/>
        <v>3.4467415545254898E-2</v>
      </c>
      <c r="K517" s="79">
        <f t="shared" si="335"/>
        <v>4.1295924933241412E-2</v>
      </c>
      <c r="L517" s="81">
        <f t="shared" si="336"/>
        <v>131.1779459920246</v>
      </c>
      <c r="M517" s="82">
        <f t="shared" si="337"/>
        <v>148.01185389630777</v>
      </c>
    </row>
    <row r="518" spans="1:13" ht="15" thickBot="1" x14ac:dyDescent="0.35">
      <c r="A518" s="60">
        <v>46077</v>
      </c>
      <c r="B518" s="68" vm="376">
        <v>191490.4</v>
      </c>
      <c r="C518" s="68">
        <v>176008.5</v>
      </c>
      <c r="D518" s="68">
        <v>2.37079795</v>
      </c>
      <c r="E518" s="79">
        <f t="shared" si="329"/>
        <v>1.1884700222666966E-2</v>
      </c>
      <c r="F518" s="79">
        <f t="shared" si="330"/>
        <v>1.3962728462153295E-2</v>
      </c>
      <c r="G518" s="79">
        <f t="shared" si="331"/>
        <v>0.32736956555965024</v>
      </c>
      <c r="H518" s="79">
        <f t="shared" si="332"/>
        <v>0.50078503221441784</v>
      </c>
      <c r="I518" s="80" t="str">
        <f t="shared" si="333"/>
        <v>022026</v>
      </c>
      <c r="J518" s="79">
        <f t="shared" si="334"/>
        <v>4.6761750669127355E-2</v>
      </c>
      <c r="K518" s="79">
        <f t="shared" si="335"/>
        <v>5.5835257181831022E-2</v>
      </c>
      <c r="L518" s="81">
        <f t="shared" si="336"/>
        <v>132.73695655596501</v>
      </c>
      <c r="M518" s="82">
        <f t="shared" si="337"/>
        <v>150.07850322144182</v>
      </c>
    </row>
    <row r="519" spans="1:13" ht="15" thickBot="1" x14ac:dyDescent="0.35">
      <c r="A519" s="60">
        <v>46078</v>
      </c>
      <c r="B519" s="68" vm="377">
        <v>191247.46</v>
      </c>
      <c r="C519" s="68">
        <v>176431.35</v>
      </c>
      <c r="D519" s="68">
        <v>2.37649365</v>
      </c>
      <c r="E519" s="79">
        <f t="shared" si="329"/>
        <v>2.4024400729720785E-3</v>
      </c>
      <c r="F519" s="79">
        <f t="shared" si="330"/>
        <v>-1.2686797876029221E-3</v>
      </c>
      <c r="G519" s="79">
        <f t="shared" si="331"/>
        <v>0.33055849139559434</v>
      </c>
      <c r="H519" s="79">
        <f t="shared" si="332"/>
        <v>0.49888101657851025</v>
      </c>
      <c r="I519" s="80" t="str">
        <f t="shared" si="333"/>
        <v>022026</v>
      </c>
      <c r="J519" s="79">
        <f t="shared" si="334"/>
        <v>4.9276533045789384E-2</v>
      </c>
      <c r="K519" s="79">
        <f t="shared" si="335"/>
        <v>5.4495740332005882E-2</v>
      </c>
      <c r="L519" s="81">
        <f t="shared" si="336"/>
        <v>133.0558491395594</v>
      </c>
      <c r="M519" s="82">
        <f t="shared" si="337"/>
        <v>149.88810165785108</v>
      </c>
    </row>
    <row r="520" spans="1:13" ht="15" thickBot="1" x14ac:dyDescent="0.35">
      <c r="A520" s="60">
        <v>46079</v>
      </c>
      <c r="B520" s="68" vm="378">
        <v>191005.02</v>
      </c>
      <c r="C520" s="68">
        <v>176629.57</v>
      </c>
      <c r="D520" s="68">
        <v>2.3791636399999998</v>
      </c>
      <c r="E520" s="79">
        <f t="shared" si="329"/>
        <v>1.1234997408891001E-3</v>
      </c>
      <c r="F520" s="79">
        <f t="shared" si="330"/>
        <v>-1.2676769667947507E-3</v>
      </c>
      <c r="G520" s="79">
        <f t="shared" si="331"/>
        <v>0.33205337351591502</v>
      </c>
      <c r="H520" s="79">
        <f t="shared" si="332"/>
        <v>0.49698091963782787</v>
      </c>
      <c r="I520" s="80" t="str">
        <f t="shared" si="333"/>
        <v>022026</v>
      </c>
      <c r="J520" s="79">
        <f t="shared" si="334"/>
        <v>5.045539495878737E-2</v>
      </c>
      <c r="K520" s="79">
        <f t="shared" si="335"/>
        <v>5.3158980370403786E-2</v>
      </c>
      <c r="L520" s="81">
        <f t="shared" si="336"/>
        <v>133.20533735159148</v>
      </c>
      <c r="M520" s="82">
        <f t="shared" si="337"/>
        <v>149.69809196378284</v>
      </c>
    </row>
    <row r="521" spans="1:13" ht="15" thickBot="1" x14ac:dyDescent="0.35">
      <c r="A521" s="60">
        <v>46080</v>
      </c>
      <c r="B521" s="68" vm="379">
        <v>188786.98</v>
      </c>
      <c r="C521" s="68">
        <v>175324.87</v>
      </c>
      <c r="D521" s="68">
        <v>2.3615895999999998</v>
      </c>
      <c r="E521" s="79">
        <f t="shared" si="329"/>
        <v>-7.3866461745355494E-3</v>
      </c>
      <c r="F521" s="79">
        <f t="shared" si="330"/>
        <v>-1.161246966179208E-2</v>
      </c>
      <c r="G521" s="79">
        <f t="shared" si="331"/>
        <v>0.32221396656015666</v>
      </c>
      <c r="H521" s="79">
        <f t="shared" si="332"/>
        <v>0.47959727412425202</v>
      </c>
      <c r="I521" s="80" t="str">
        <f t="shared" si="333"/>
        <v>022026</v>
      </c>
      <c r="J521" s="79">
        <f t="shared" si="334"/>
        <v>4.2696052634094706E-2</v>
      </c>
      <c r="K521" s="79">
        <f t="shared" si="335"/>
        <v>4.0929203661808522E-2</v>
      </c>
      <c r="L521" s="81">
        <f t="shared" si="336"/>
        <v>132.22139665601563</v>
      </c>
      <c r="M521" s="82">
        <f t="shared" si="337"/>
        <v>147.95972741242525</v>
      </c>
    </row>
    <row r="522" spans="1:13" ht="15" thickBot="1" x14ac:dyDescent="0.35">
      <c r="A522" s="60">
        <v>46083</v>
      </c>
      <c r="B522" s="68" vm="380">
        <v>189307.02</v>
      </c>
      <c r="C522" s="68">
        <v>176136.12</v>
      </c>
      <c r="D522" s="68">
        <v>2.3725169699999999</v>
      </c>
      <c r="E522" s="79">
        <f t="shared" si="329"/>
        <v>4.6271248823250843E-3</v>
      </c>
      <c r="F522" s="79">
        <f t="shared" si="330"/>
        <v>2.7546391175916618E-3</v>
      </c>
      <c r="G522" s="79">
        <f t="shared" si="331"/>
        <v>0.32833201570458481</v>
      </c>
      <c r="H522" s="79">
        <f t="shared" si="332"/>
        <v>0.4836730306538366</v>
      </c>
      <c r="I522" s="80" t="str">
        <f t="shared" si="333"/>
        <v>032026</v>
      </c>
      <c r="J522" s="79">
        <f t="shared" si="334"/>
        <v>4.6271248823250843E-3</v>
      </c>
      <c r="K522" s="79">
        <f t="shared" si="335"/>
        <v>2.7546391175916618E-3</v>
      </c>
      <c r="L522" s="81">
        <f t="shared" si="336"/>
        <v>132.83320157045844</v>
      </c>
      <c r="M522" s="82">
        <f t="shared" si="337"/>
        <v>148.36730306538371</v>
      </c>
    </row>
    <row r="523" spans="1:13" ht="15" thickBot="1" x14ac:dyDescent="0.35">
      <c r="A523" s="60">
        <v>46084</v>
      </c>
      <c r="B523" s="68" vm="381">
        <v>183104.87</v>
      </c>
      <c r="C523" s="68">
        <v>170972.99</v>
      </c>
      <c r="D523" s="68">
        <v>2.30297068</v>
      </c>
      <c r="E523" s="79">
        <f t="shared" si="329"/>
        <v>-2.9313295069918865E-2</v>
      </c>
      <c r="F523" s="79">
        <f t="shared" si="330"/>
        <v>-3.2762387786781422E-2</v>
      </c>
      <c r="G523" s="79">
        <f t="shared" si="331"/>
        <v>0.28939422737741616</v>
      </c>
      <c r="H523" s="79">
        <f t="shared" si="332"/>
        <v>0.43506435947476629</v>
      </c>
      <c r="I523" s="80" t="str">
        <f t="shared" si="333"/>
        <v>032026</v>
      </c>
      <c r="J523" s="79">
        <f t="shared" si="334"/>
        <v>-2.4821806464594753E-2</v>
      </c>
      <c r="K523" s="79">
        <f t="shared" si="335"/>
        <v>-3.0097997224172945E-2</v>
      </c>
      <c r="L523" s="81">
        <f t="shared" si="336"/>
        <v>128.93942273774158</v>
      </c>
      <c r="M523" s="82">
        <f t="shared" si="337"/>
        <v>143.50643594747669</v>
      </c>
    </row>
    <row r="524" spans="1:13" ht="15" thickBot="1" x14ac:dyDescent="0.35">
      <c r="A524" s="60">
        <v>46085</v>
      </c>
      <c r="B524" s="68" vm="382">
        <v>185366.44</v>
      </c>
      <c r="C524" s="68">
        <v>173206.99</v>
      </c>
      <c r="D524" s="68">
        <v>2.3330621900000001</v>
      </c>
      <c r="E524" s="79">
        <f t="shared" si="329"/>
        <v>1.3066388669785489E-2</v>
      </c>
      <c r="F524" s="79">
        <f t="shared" si="330"/>
        <v>1.2351228014853E-2</v>
      </c>
      <c r="G524" s="79">
        <f t="shared" si="331"/>
        <v>0.30624195350090733</v>
      </c>
      <c r="H524" s="79">
        <f t="shared" si="332"/>
        <v>0.45278916659462798</v>
      </c>
      <c r="I524" s="80" t="str">
        <f t="shared" si="333"/>
        <v>032026</v>
      </c>
      <c r="J524" s="79">
        <f t="shared" si="334"/>
        <v>-1.2079749165561871E-2</v>
      </c>
      <c r="K524" s="79">
        <f t="shared" si="335"/>
        <v>-1.8118516435826071E-2</v>
      </c>
      <c r="L524" s="81">
        <f t="shared" si="336"/>
        <v>130.6241953500907</v>
      </c>
      <c r="M524" s="82">
        <f t="shared" si="337"/>
        <v>145.27891665946288</v>
      </c>
    </row>
    <row r="525" spans="1:13" ht="15" thickBot="1" x14ac:dyDescent="0.35">
      <c r="A525" s="60">
        <v>46086</v>
      </c>
      <c r="B525" s="68" vm="383">
        <v>180463.84</v>
      </c>
      <c r="C525" s="68">
        <v>169725.14</v>
      </c>
      <c r="D525" s="68">
        <v>2.2861623999999998</v>
      </c>
      <c r="E525" s="79">
        <f t="shared" si="329"/>
        <v>-2.0102245967134058E-2</v>
      </c>
      <c r="F525" s="79">
        <f t="shared" si="330"/>
        <v>-2.6448153182420775E-2</v>
      </c>
      <c r="G525" s="79">
        <f t="shared" si="331"/>
        <v>0.27998355645904249</v>
      </c>
      <c r="H525" s="79">
        <f t="shared" si="332"/>
        <v>0.41436557617477177</v>
      </c>
      <c r="I525" s="80" t="str">
        <f t="shared" si="333"/>
        <v>032026</v>
      </c>
      <c r="J525" s="79">
        <f t="shared" si="334"/>
        <v>-3.1939165043748496E-2</v>
      </c>
      <c r="K525" s="79">
        <f t="shared" si="335"/>
        <v>-4.4087468320113898E-2</v>
      </c>
      <c r="L525" s="81">
        <f t="shared" si="336"/>
        <v>127.99835564590421</v>
      </c>
      <c r="M525" s="82">
        <f t="shared" si="337"/>
        <v>141.43655761747726</v>
      </c>
    </row>
    <row r="526" spans="1:13" ht="15" thickBot="1" x14ac:dyDescent="0.35">
      <c r="A526" s="60">
        <v>46087</v>
      </c>
      <c r="B526" s="68" vm="384">
        <v>179364.82</v>
      </c>
      <c r="C526" s="68">
        <v>169387.85</v>
      </c>
      <c r="D526" s="68">
        <v>2.2816191699999999</v>
      </c>
      <c r="E526" s="79">
        <f t="shared" si="329"/>
        <v>-1.9872735200263669E-3</v>
      </c>
      <c r="F526" s="79">
        <f t="shared" si="330"/>
        <v>-6.0899734816680651E-3</v>
      </c>
      <c r="G526" s="79">
        <f t="shared" si="331"/>
        <v>0.27743987903122225</v>
      </c>
      <c r="H526" s="79">
        <f t="shared" si="332"/>
        <v>0.40575212732248334</v>
      </c>
      <c r="I526" s="80" t="str">
        <f t="shared" si="333"/>
        <v>032026</v>
      </c>
      <c r="J526" s="79">
        <f t="shared" si="334"/>
        <v>-3.3862966706831643E-2</v>
      </c>
      <c r="K526" s="79">
        <f t="shared" si="335"/>
        <v>-4.9908950288838572E-2</v>
      </c>
      <c r="L526" s="81">
        <f t="shared" si="336"/>
        <v>127.74398790312219</v>
      </c>
      <c r="M526" s="82">
        <f t="shared" si="337"/>
        <v>140.57521273224842</v>
      </c>
    </row>
    <row r="527" spans="1:13" ht="15" thickBot="1" x14ac:dyDescent="0.35">
      <c r="A527" s="60">
        <v>46090</v>
      </c>
      <c r="B527" s="68" vm="385">
        <v>180915.36</v>
      </c>
      <c r="C527" s="68">
        <v>170233.47</v>
      </c>
      <c r="D527" s="68">
        <v>2.2930095000000001</v>
      </c>
      <c r="E527" s="79">
        <f t="shared" si="329"/>
        <v>4.9922134902120607E-3</v>
      </c>
      <c r="F527" s="79">
        <f t="shared" si="330"/>
        <v>8.6446160400905914E-3</v>
      </c>
      <c r="G527" s="79">
        <f t="shared" si="331"/>
        <v>0.28381713162825672</v>
      </c>
      <c r="H527" s="79">
        <f t="shared" si="332"/>
        <v>0.41790431471072687</v>
      </c>
      <c r="I527" s="80" t="str">
        <f t="shared" si="333"/>
        <v>032026</v>
      </c>
      <c r="J527" s="79">
        <f t="shared" si="334"/>
        <v>-2.9039804375831979E-2</v>
      </c>
      <c r="K527" s="79">
        <f t="shared" si="335"/>
        <v>-4.1695777960958913E-2</v>
      </c>
      <c r="L527" s="81">
        <f t="shared" si="336"/>
        <v>128.38171316282563</v>
      </c>
      <c r="M527" s="82">
        <f t="shared" si="337"/>
        <v>141.79043147107276</v>
      </c>
    </row>
    <row r="528" spans="1:13" ht="15" thickBot="1" x14ac:dyDescent="0.35">
      <c r="A528" s="60">
        <v>46091</v>
      </c>
      <c r="B528" s="68" vm="386">
        <v>183447</v>
      </c>
      <c r="C528" s="68">
        <v>172103.47</v>
      </c>
      <c r="D528" s="68">
        <v>2.3181980100000001</v>
      </c>
      <c r="E528" s="79">
        <f t="shared" si="329"/>
        <v>1.0984913058580847E-2</v>
      </c>
      <c r="F528" s="79">
        <f t="shared" si="330"/>
        <v>1.3993505029092246E-2</v>
      </c>
      <c r="G528" s="79">
        <f t="shared" si="331"/>
        <v>0.29791975120230973</v>
      </c>
      <c r="H528" s="79">
        <f t="shared" si="332"/>
        <v>0.43774576586940284</v>
      </c>
      <c r="I528" s="80" t="str">
        <f t="shared" si="333"/>
        <v>032026</v>
      </c>
      <c r="J528" s="79">
        <f t="shared" si="334"/>
        <v>-1.83738910435578E-2</v>
      </c>
      <c r="K528" s="79">
        <f t="shared" si="335"/>
        <v>-2.8285743010455278E-2</v>
      </c>
      <c r="L528" s="81">
        <f t="shared" si="336"/>
        <v>129.79197512023094</v>
      </c>
      <c r="M528" s="82">
        <f t="shared" si="337"/>
        <v>143.77457658694038</v>
      </c>
    </row>
    <row r="529" spans="1:13" ht="15" thickBot="1" x14ac:dyDescent="0.35">
      <c r="A529" s="60">
        <v>46092</v>
      </c>
      <c r="B529" s="68" vm="387">
        <v>183969.35</v>
      </c>
      <c r="C529" s="68">
        <v>172168.69</v>
      </c>
      <c r="D529" s="68">
        <v>2.3190765099999999</v>
      </c>
      <c r="E529" s="79">
        <f t="shared" si="329"/>
        <v>3.789581374025186E-4</v>
      </c>
      <c r="F529" s="79">
        <f t="shared" si="330"/>
        <v>2.847416420001414E-3</v>
      </c>
      <c r="G529" s="79">
        <f t="shared" si="331"/>
        <v>0.29841160845372317</v>
      </c>
      <c r="H529" s="79">
        <f t="shared" si="332"/>
        <v>0.44183962677092703</v>
      </c>
      <c r="I529" s="80" t="str">
        <f t="shared" si="333"/>
        <v>032026</v>
      </c>
      <c r="J529" s="79">
        <f t="shared" si="334"/>
        <v>-1.8001895841681992E-2</v>
      </c>
      <c r="K529" s="79">
        <f t="shared" si="335"/>
        <v>-2.5518867879553819E-2</v>
      </c>
      <c r="L529" s="81">
        <f t="shared" si="336"/>
        <v>129.84116084537231</v>
      </c>
      <c r="M529" s="82">
        <f t="shared" si="337"/>
        <v>144.18396267709278</v>
      </c>
    </row>
    <row r="530" spans="1:13" ht="15" thickBot="1" x14ac:dyDescent="0.35">
      <c r="A530" s="60">
        <v>46093</v>
      </c>
      <c r="B530" s="68" vm="388">
        <v>179284.49</v>
      </c>
      <c r="C530" s="68">
        <v>169285.55</v>
      </c>
      <c r="D530" s="68">
        <v>2.2802412099999998</v>
      </c>
      <c r="E530" s="79">
        <f t="shared" si="329"/>
        <v>-1.6746019302312787E-2</v>
      </c>
      <c r="F530" s="79">
        <f t="shared" si="330"/>
        <v>-2.5465437585119544E-2</v>
      </c>
      <c r="G530" s="79">
        <f t="shared" si="331"/>
        <v>0.27666838259621018</v>
      </c>
      <c r="H530" s="79">
        <f t="shared" si="332"/>
        <v>0.40512254974763984</v>
      </c>
      <c r="I530" s="80" t="str">
        <f t="shared" si="333"/>
        <v>032026</v>
      </c>
      <c r="J530" s="79">
        <f t="shared" si="334"/>
        <v>-3.4446455048751767E-2</v>
      </c>
      <c r="K530" s="79">
        <f t="shared" si="335"/>
        <v>-5.0334456327443711E-2</v>
      </c>
      <c r="L530" s="81">
        <f t="shared" si="336"/>
        <v>127.66683825962102</v>
      </c>
      <c r="M530" s="82">
        <f t="shared" si="337"/>
        <v>140.51225497476406</v>
      </c>
    </row>
    <row r="531" spans="1:13" ht="15" thickBot="1" x14ac:dyDescent="0.35">
      <c r="A531" s="60">
        <v>46094</v>
      </c>
      <c r="B531" s="68" vm="389">
        <v>177653.31</v>
      </c>
      <c r="C531" s="68">
        <v>167784.93</v>
      </c>
      <c r="D531" s="68">
        <v>2.26002817</v>
      </c>
      <c r="E531" s="79">
        <f t="shared" si="329"/>
        <v>-8.8644306187237731E-3</v>
      </c>
      <c r="F531" s="79">
        <f t="shared" si="330"/>
        <v>-9.098277268714039E-3</v>
      </c>
      <c r="G531" s="79">
        <f t="shared" si="331"/>
        <v>0.26535144429556778</v>
      </c>
      <c r="H531" s="79">
        <f t="shared" si="332"/>
        <v>0.39233835519351334</v>
      </c>
      <c r="I531" s="80" t="str">
        <f t="shared" si="333"/>
        <v>032026</v>
      </c>
      <c r="J531" s="79">
        <f t="shared" si="334"/>
        <v>-4.3005537456634935E-2</v>
      </c>
      <c r="K531" s="79">
        <f t="shared" si="335"/>
        <v>-5.8974776756320679E-2</v>
      </c>
      <c r="L531" s="81">
        <f t="shared" si="336"/>
        <v>126.53514442955678</v>
      </c>
      <c r="M531" s="82">
        <f t="shared" si="337"/>
        <v>139.2338355193514</v>
      </c>
    </row>
    <row r="532" spans="1:13" ht="15" thickBot="1" x14ac:dyDescent="0.35">
      <c r="A532" s="60">
        <v>46097</v>
      </c>
      <c r="B532" s="68" vm="390">
        <v>179875.44</v>
      </c>
      <c r="C532" s="68">
        <v>169743.91</v>
      </c>
      <c r="D532" s="68">
        <v>2.2864152199999999</v>
      </c>
      <c r="E532" s="79">
        <f t="shared" si="329"/>
        <v>1.167554030974749E-2</v>
      </c>
      <c r="F532" s="79">
        <f t="shared" si="330"/>
        <v>1.2508238658767379E-2</v>
      </c>
      <c r="G532" s="79">
        <f t="shared" si="331"/>
        <v>0.28012510608943786</v>
      </c>
      <c r="H532" s="79">
        <f t="shared" si="332"/>
        <v>0.40975405563402956</v>
      </c>
      <c r="I532" s="80" t="str">
        <f t="shared" si="333"/>
        <v>032026</v>
      </c>
      <c r="J532" s="79">
        <f t="shared" si="334"/>
        <v>-3.183211003300479E-2</v>
      </c>
      <c r="K532" s="79">
        <f t="shared" si="335"/>
        <v>-4.7204208680068915E-2</v>
      </c>
      <c r="L532" s="81">
        <f t="shared" si="336"/>
        <v>128.01251060894378</v>
      </c>
      <c r="M532" s="82">
        <f t="shared" si="337"/>
        <v>140.975405563403</v>
      </c>
    </row>
    <row r="533" spans="1:13" ht="15" thickBot="1" x14ac:dyDescent="0.35">
      <c r="A533" s="60">
        <v>46098</v>
      </c>
      <c r="B533" s="68" vm="391">
        <v>180409.73</v>
      </c>
      <c r="C533" s="68">
        <v>170257.19</v>
      </c>
      <c r="D533" s="68">
        <v>2.293329</v>
      </c>
      <c r="E533" s="79">
        <f t="shared" si="329"/>
        <v>3.0238514594913557E-3</v>
      </c>
      <c r="F533" s="79">
        <f t="shared" si="330"/>
        <v>2.9703332483856926E-3</v>
      </c>
      <c r="G533" s="79">
        <f t="shared" si="331"/>
        <v>0.28399601425981791</v>
      </c>
      <c r="H533" s="79">
        <f t="shared" si="332"/>
        <v>0.41394149497752597</v>
      </c>
      <c r="I533" s="80" t="str">
        <f t="shared" si="333"/>
        <v>032026</v>
      </c>
      <c r="J533" s="79">
        <f t="shared" si="334"/>
        <v>-2.8904514145895455E-2</v>
      </c>
      <c r="K533" s="79">
        <f t="shared" si="335"/>
        <v>-4.4374087662189421E-2</v>
      </c>
      <c r="L533" s="81">
        <f t="shared" si="336"/>
        <v>128.39960142598179</v>
      </c>
      <c r="M533" s="82">
        <f t="shared" si="337"/>
        <v>141.39414949775264</v>
      </c>
    </row>
    <row r="534" spans="1:13" ht="15" thickBot="1" x14ac:dyDescent="0.35">
      <c r="A534" s="60">
        <v>46099</v>
      </c>
      <c r="B534" s="68" vm="392">
        <v>179639.91</v>
      </c>
      <c r="C534" s="68">
        <v>170048.67</v>
      </c>
      <c r="D534" s="68">
        <v>2.29052028</v>
      </c>
      <c r="E534" s="79">
        <f t="shared" si="329"/>
        <v>-1.2247348723187779E-3</v>
      </c>
      <c r="F534" s="79">
        <f t="shared" si="330"/>
        <v>-4.2670647531040107E-3</v>
      </c>
      <c r="G534" s="79">
        <f t="shared" si="331"/>
        <v>0.28242345956523551</v>
      </c>
      <c r="H534" s="79">
        <f t="shared" si="332"/>
        <v>0.40790811506135616</v>
      </c>
      <c r="I534" s="80" t="str">
        <f t="shared" si="333"/>
        <v>032026</v>
      </c>
      <c r="J534" s="79">
        <f t="shared" si="334"/>
        <v>-3.0093848651772337E-2</v>
      </c>
      <c r="K534" s="79">
        <f t="shared" si="335"/>
        <v>-4.8451805309878915E-2</v>
      </c>
      <c r="L534" s="81">
        <f t="shared" si="336"/>
        <v>128.24234595652356</v>
      </c>
      <c r="M534" s="82">
        <f t="shared" si="337"/>
        <v>140.79081150613567</v>
      </c>
    </row>
    <row r="535" spans="1:13" ht="15" thickBot="1" x14ac:dyDescent="0.35">
      <c r="A535" s="60">
        <v>46100</v>
      </c>
      <c r="B535" s="68" vm="393">
        <v>180270.62</v>
      </c>
      <c r="C535" s="68">
        <v>170449.92000000001</v>
      </c>
      <c r="D535" s="68">
        <v>2.2959250299999998</v>
      </c>
      <c r="E535" s="79">
        <f t="shared" si="329"/>
        <v>2.3596167417474501E-3</v>
      </c>
      <c r="F535" s="79">
        <f t="shared" si="330"/>
        <v>3.5109681362008871E-3</v>
      </c>
      <c r="G535" s="79">
        <f t="shared" si="331"/>
        <v>0.28544948743043519</v>
      </c>
      <c r="H535" s="79">
        <f t="shared" si="332"/>
        <v>0.41285123559203529</v>
      </c>
      <c r="I535" s="80" t="str">
        <f t="shared" si="333"/>
        <v>032026</v>
      </c>
      <c r="J535" s="79">
        <f t="shared" si="334"/>
        <v>-2.780524185912725E-2</v>
      </c>
      <c r="K535" s="79">
        <f t="shared" si="335"/>
        <v>-4.5110949918262366E-2</v>
      </c>
      <c r="L535" s="81">
        <f t="shared" si="336"/>
        <v>128.54494874304353</v>
      </c>
      <c r="M535" s="82">
        <f t="shared" si="337"/>
        <v>141.28512355920358</v>
      </c>
    </row>
    <row r="536" spans="1:13" ht="15" thickBot="1" x14ac:dyDescent="0.35">
      <c r="A536" s="60">
        <v>46101</v>
      </c>
      <c r="B536" s="68" vm="394">
        <v>176219.4</v>
      </c>
      <c r="C536" s="68">
        <v>168196.67</v>
      </c>
      <c r="D536" s="68">
        <v>2.26557422</v>
      </c>
      <c r="E536" s="79">
        <f t="shared" si="329"/>
        <v>-1.3219425548925634E-2</v>
      </c>
      <c r="F536" s="79">
        <f t="shared" si="330"/>
        <v>-2.2472990884482513E-2</v>
      </c>
      <c r="G536" s="79">
        <f t="shared" si="331"/>
        <v>0.26845658363444391</v>
      </c>
      <c r="H536" s="79">
        <f t="shared" si="332"/>
        <v>0.38110024265344555</v>
      </c>
      <c r="I536" s="80" t="str">
        <f t="shared" si="333"/>
        <v>032026</v>
      </c>
      <c r="J536" s="79">
        <f t="shared" si="334"/>
        <v>-4.0657098083426324E-2</v>
      </c>
      <c r="K536" s="79">
        <f t="shared" si="335"/>
        <v>-6.657016283644146E-2</v>
      </c>
      <c r="L536" s="81">
        <f t="shared" si="336"/>
        <v>126.84565836344441</v>
      </c>
      <c r="M536" s="82">
        <f t="shared" si="337"/>
        <v>138.11002426534461</v>
      </c>
    </row>
    <row r="537" spans="1:13" ht="15" thickBot="1" x14ac:dyDescent="0.35">
      <c r="A537" s="60">
        <v>46104</v>
      </c>
      <c r="B537" s="68" vm="395">
        <v>181931.93</v>
      </c>
      <c r="C537" s="68">
        <v>171146.93</v>
      </c>
      <c r="D537" s="68">
        <v>2.3053136099999998</v>
      </c>
      <c r="E537" s="79">
        <f t="shared" si="329"/>
        <v>1.7540537692029234E-2</v>
      </c>
      <c r="F537" s="79">
        <f t="shared" si="330"/>
        <v>3.2417145898805622E-2</v>
      </c>
      <c r="G537" s="79">
        <f t="shared" si="331"/>
        <v>0.29070599415038667</v>
      </c>
      <c r="H537" s="79">
        <f t="shared" si="332"/>
        <v>0.42587157072041837</v>
      </c>
      <c r="I537" s="80" t="str">
        <f t="shared" si="333"/>
        <v>032026</v>
      </c>
      <c r="J537" s="79">
        <f t="shared" si="334"/>
        <v>-2.3829707752777929E-2</v>
      </c>
      <c r="K537" s="79">
        <f t="shared" si="335"/>
        <v>-3.6311031618811995E-2</v>
      </c>
      <c r="L537" s="81">
        <f t="shared" si="336"/>
        <v>129.07059941503869</v>
      </c>
      <c r="M537" s="82">
        <f t="shared" si="337"/>
        <v>142.58715707204186</v>
      </c>
    </row>
  </sheetData>
  <autoFilter ref="A1:S1" xr:uid="{A8C7BB3D-AA6F-4398-826D-91557AA445E2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DB3DB-62EE-4D32-A800-9EC24BEEDEC6}">
  <dimension ref="A1:N42"/>
  <sheetViews>
    <sheetView showGridLines="0" topLeftCell="A8" workbookViewId="0">
      <selection activeCell="B3" sqref="B3:B42"/>
    </sheetView>
  </sheetViews>
  <sheetFormatPr defaultColWidth="8.88671875" defaultRowHeight="14.4" x14ac:dyDescent="0.3"/>
  <cols>
    <col min="1" max="1" width="7.44140625" bestFit="1" customWidth="1"/>
    <col min="2" max="2" width="21" bestFit="1" customWidth="1"/>
    <col min="3" max="3" width="12.33203125" style="2" bestFit="1" customWidth="1"/>
    <col min="4" max="4" width="6.6640625" bestFit="1" customWidth="1"/>
    <col min="5" max="5" width="12.44140625" style="1" bestFit="1" customWidth="1"/>
    <col min="6" max="6" width="10.6640625" style="1" bestFit="1" customWidth="1"/>
    <col min="7" max="7" width="13.33203125" style="1" bestFit="1" customWidth="1"/>
    <col min="8" max="8" width="11.44140625" style="1" bestFit="1" customWidth="1"/>
    <col min="9" max="9" width="8.109375" style="46" bestFit="1" customWidth="1"/>
    <col min="10" max="10" width="11.88671875" style="1" bestFit="1" customWidth="1"/>
    <col min="11" max="11" width="10.109375" style="1" bestFit="1" customWidth="1"/>
    <col min="12" max="12" width="16" style="3" bestFit="1" customWidth="1"/>
    <col min="13" max="13" width="14.33203125" style="3" bestFit="1" customWidth="1"/>
  </cols>
  <sheetData>
    <row r="1" spans="1:13" x14ac:dyDescent="0.3">
      <c r="A1" s="15" t="s">
        <v>0</v>
      </c>
      <c r="B1" s="16" t="s">
        <v>2</v>
      </c>
      <c r="C1" s="17" t="s">
        <v>1</v>
      </c>
      <c r="D1" s="16" t="s">
        <v>3</v>
      </c>
      <c r="E1" s="18" t="s">
        <v>4</v>
      </c>
      <c r="F1" s="4" t="s">
        <v>5</v>
      </c>
      <c r="G1" s="4" t="s">
        <v>6</v>
      </c>
      <c r="H1" s="4" t="s">
        <v>7</v>
      </c>
      <c r="I1" s="43" t="s">
        <v>8</v>
      </c>
      <c r="J1" s="4" t="s">
        <v>9</v>
      </c>
      <c r="K1" s="4" t="s">
        <v>10</v>
      </c>
      <c r="L1" s="5" t="s">
        <v>11</v>
      </c>
      <c r="M1" s="6" t="s">
        <v>12</v>
      </c>
    </row>
    <row r="2" spans="1:13" x14ac:dyDescent="0.3">
      <c r="A2" s="19">
        <v>45657</v>
      </c>
      <c r="B2" s="20">
        <v>120283</v>
      </c>
      <c r="C2" s="20">
        <v>190188.72</v>
      </c>
      <c r="D2" s="21">
        <v>1.686855</v>
      </c>
      <c r="E2" s="22">
        <v>-4.1999999999999998E-5</v>
      </c>
      <c r="F2" s="29">
        <v>0</v>
      </c>
      <c r="G2" s="29">
        <v>0</v>
      </c>
      <c r="H2" s="29">
        <v>0</v>
      </c>
      <c r="I2" s="44" t="str">
        <f t="shared" ref="I2:I42" si="0">TEXT(A2,"mmaaaa")</f>
        <v>122024</v>
      </c>
      <c r="J2" s="29">
        <v>0</v>
      </c>
      <c r="K2" s="29">
        <v>0</v>
      </c>
      <c r="L2" s="30">
        <v>100</v>
      </c>
      <c r="M2" s="31">
        <v>100</v>
      </c>
    </row>
    <row r="3" spans="1:13" x14ac:dyDescent="0.3">
      <c r="A3" s="19">
        <v>45659</v>
      </c>
      <c r="B3" s="20">
        <v>120125</v>
      </c>
      <c r="C3" s="20">
        <v>189667.53</v>
      </c>
      <c r="D3" s="21">
        <v>1.6822330000000001</v>
      </c>
      <c r="E3" s="22">
        <v>-2.7400000000000002E-3</v>
      </c>
      <c r="F3" s="29">
        <f t="shared" ref="F3:F40" si="1">B3/B2-1</f>
        <v>-1.3135688335009776E-3</v>
      </c>
      <c r="G3" s="29">
        <f>D3/$D$2-1</f>
        <v>-2.7400102557717521E-3</v>
      </c>
      <c r="H3" s="29">
        <f>B3/$B$2-1</f>
        <v>-1.3135688335009776E-3</v>
      </c>
      <c r="I3" s="44" t="str">
        <f t="shared" si="0"/>
        <v>012025</v>
      </c>
      <c r="J3" s="29">
        <f>E3</f>
        <v>-2.7400000000000002E-3</v>
      </c>
      <c r="K3" s="29">
        <f>F3</f>
        <v>-1.3135688335009776E-3</v>
      </c>
      <c r="L3" s="30">
        <f>L2*(1+E3)</f>
        <v>99.725999999999999</v>
      </c>
      <c r="M3" s="31">
        <f>M2*(1+F3)</f>
        <v>99.868643116649906</v>
      </c>
    </row>
    <row r="4" spans="1:13" x14ac:dyDescent="0.3">
      <c r="A4" s="19">
        <v>45660</v>
      </c>
      <c r="B4" s="20">
        <v>118533</v>
      </c>
      <c r="C4" s="20">
        <v>189169.82</v>
      </c>
      <c r="D4" s="21">
        <v>1.677818</v>
      </c>
      <c r="E4" s="22">
        <v>-2.624E-3</v>
      </c>
      <c r="F4" s="29">
        <f t="shared" si="1"/>
        <v>-1.325286160249739E-2</v>
      </c>
      <c r="G4" s="29">
        <f t="shared" ref="G4:G42" si="2">D4/$D$2-1</f>
        <v>-5.3573069410233209E-3</v>
      </c>
      <c r="H4" s="29">
        <f t="shared" ref="H4:H42" si="3">B4/$B$2-1</f>
        <v>-1.4549021890042702E-2</v>
      </c>
      <c r="I4" s="44" t="str">
        <f t="shared" si="0"/>
        <v>012025</v>
      </c>
      <c r="J4" s="29">
        <f>IF(I4=I3,(1+E4)*(1+J3)-1,E4)</f>
        <v>-5.3568102399998985E-3</v>
      </c>
      <c r="K4" s="29">
        <f>IF(I4=I3,(1+F4)*(1+K3)-1,F4)</f>
        <v>-1.454902189004259E-2</v>
      </c>
      <c r="L4" s="30">
        <f t="shared" ref="L4:M19" si="4">L3*(1+E4)</f>
        <v>99.464318976000001</v>
      </c>
      <c r="M4" s="31">
        <f t="shared" si="4"/>
        <v>98.545097810995742</v>
      </c>
    </row>
    <row r="5" spans="1:13" x14ac:dyDescent="0.3">
      <c r="A5" s="19">
        <v>45663</v>
      </c>
      <c r="B5" s="20">
        <v>120022</v>
      </c>
      <c r="C5" s="20">
        <v>190143.31</v>
      </c>
      <c r="D5" s="21">
        <v>1.686453</v>
      </c>
      <c r="E5" s="22">
        <v>5.1470000000000005E-3</v>
      </c>
      <c r="F5" s="29">
        <f t="shared" si="1"/>
        <v>1.2561902592526986E-2</v>
      </c>
      <c r="G5" s="29">
        <f t="shared" si="2"/>
        <v>-2.3831331086554552E-4</v>
      </c>
      <c r="H5" s="29">
        <f t="shared" si="3"/>
        <v>-2.1698826933149729E-3</v>
      </c>
      <c r="I5" s="44" t="str">
        <f t="shared" si="0"/>
        <v>012025</v>
      </c>
      <c r="J5" s="29">
        <f t="shared" ref="J5:J42" si="5">IF(I5=I4,(1+E5)*(1+J4)-1,E5)</f>
        <v>-2.3738174230514275E-4</v>
      </c>
      <c r="K5" s="29">
        <f t="shared" ref="K5:K42" si="6">IF(I5=I4,(1+F5)*(1+K4)-1,F5)</f>
        <v>-2.1698826933148618E-3</v>
      </c>
      <c r="L5" s="30">
        <f t="shared" si="4"/>
        <v>99.97626182576947</v>
      </c>
      <c r="M5" s="31">
        <f t="shared" si="4"/>
        <v>99.78301173066852</v>
      </c>
    </row>
    <row r="6" spans="1:13" x14ac:dyDescent="0.3">
      <c r="A6" s="19">
        <v>45664</v>
      </c>
      <c r="B6" s="20">
        <v>121163</v>
      </c>
      <c r="C6" s="20">
        <v>190298.22</v>
      </c>
      <c r="D6" s="21">
        <v>1.687827</v>
      </c>
      <c r="E6" s="22">
        <v>8.1500000000000008E-4</v>
      </c>
      <c r="F6" s="29">
        <f t="shared" si="1"/>
        <v>9.5065904584159533E-3</v>
      </c>
      <c r="G6" s="29">
        <f t="shared" si="2"/>
        <v>5.7622024418213513E-4</v>
      </c>
      <c r="H6" s="29">
        <f t="shared" si="3"/>
        <v>7.316079578992829E-3</v>
      </c>
      <c r="I6" s="44" t="str">
        <f t="shared" si="0"/>
        <v>012025</v>
      </c>
      <c r="J6" s="29">
        <f t="shared" si="5"/>
        <v>5.7742479157485427E-4</v>
      </c>
      <c r="K6" s="29">
        <f t="shared" si="6"/>
        <v>7.3160795789930511E-3</v>
      </c>
      <c r="L6" s="30">
        <f t="shared" si="4"/>
        <v>100.05774247915747</v>
      </c>
      <c r="M6" s="31">
        <f t="shared" si="4"/>
        <v>100.7316079578993</v>
      </c>
    </row>
    <row r="7" spans="1:13" x14ac:dyDescent="0.3">
      <c r="A7" s="19">
        <v>45665</v>
      </c>
      <c r="B7" s="20">
        <v>119625</v>
      </c>
      <c r="C7" s="20">
        <v>189721.42</v>
      </c>
      <c r="D7" s="21">
        <v>1.6827110000000001</v>
      </c>
      <c r="E7" s="22">
        <v>-3.0309999999999998E-3</v>
      </c>
      <c r="F7" s="29">
        <f t="shared" si="1"/>
        <v>-1.2693644099271206E-2</v>
      </c>
      <c r="G7" s="29">
        <f t="shared" si="2"/>
        <v>-2.4566426871307501E-3</v>
      </c>
      <c r="H7" s="29">
        <f t="shared" si="3"/>
        <v>-5.4704322306560194E-3</v>
      </c>
      <c r="I7" s="44" t="str">
        <f t="shared" si="0"/>
        <v>012025</v>
      </c>
      <c r="J7" s="29">
        <f t="shared" si="5"/>
        <v>-2.4553253829684429E-3</v>
      </c>
      <c r="K7" s="29">
        <f t="shared" si="6"/>
        <v>-5.4704322306557973E-3</v>
      </c>
      <c r="L7" s="30">
        <f t="shared" si="4"/>
        <v>99.754467461703143</v>
      </c>
      <c r="M7" s="31">
        <f t="shared" si="4"/>
        <v>99.452956776934414</v>
      </c>
    </row>
    <row r="8" spans="1:13" x14ac:dyDescent="0.3">
      <c r="A8" s="19">
        <v>45666</v>
      </c>
      <c r="B8" s="20">
        <v>119781</v>
      </c>
      <c r="C8" s="20">
        <v>190414.22</v>
      </c>
      <c r="D8" s="21">
        <v>1.688855</v>
      </c>
      <c r="E8" s="22">
        <v>3.6509999999999997E-3</v>
      </c>
      <c r="F8" s="29">
        <f t="shared" si="1"/>
        <v>1.3040752351096696E-3</v>
      </c>
      <c r="G8" s="29">
        <f t="shared" si="2"/>
        <v>1.1856383625148403E-3</v>
      </c>
      <c r="H8" s="29">
        <f t="shared" si="3"/>
        <v>-4.1734908507436996E-3</v>
      </c>
      <c r="I8" s="44" t="str">
        <f t="shared" si="0"/>
        <v>012025</v>
      </c>
      <c r="J8" s="29">
        <f t="shared" si="5"/>
        <v>1.1867102240583627E-3</v>
      </c>
      <c r="K8" s="29">
        <f t="shared" si="6"/>
        <v>-4.1734908507434776E-3</v>
      </c>
      <c r="L8" s="30">
        <f t="shared" si="4"/>
        <v>100.11867102240583</v>
      </c>
      <c r="M8" s="31">
        <f t="shared" si="4"/>
        <v>99.582650914925651</v>
      </c>
    </row>
    <row r="9" spans="1:13" x14ac:dyDescent="0.3">
      <c r="A9" s="19">
        <v>45667</v>
      </c>
      <c r="B9" s="20">
        <v>118856</v>
      </c>
      <c r="C9" s="20">
        <v>189271.59</v>
      </c>
      <c r="D9" s="21">
        <v>1.6787209999999999</v>
      </c>
      <c r="E9" s="22">
        <v>-6.0009999999999994E-3</v>
      </c>
      <c r="F9" s="29">
        <f t="shared" si="1"/>
        <v>-7.7224267621742726E-3</v>
      </c>
      <c r="G9" s="29">
        <f t="shared" si="2"/>
        <v>-4.8219912203479876E-3</v>
      </c>
      <c r="H9" s="29">
        <f t="shared" si="3"/>
        <v>-1.1863688135480444E-2</v>
      </c>
      <c r="I9" s="44" t="str">
        <f t="shared" si="0"/>
        <v>012025</v>
      </c>
      <c r="J9" s="29">
        <f t="shared" si="5"/>
        <v>-4.8214112239962637E-3</v>
      </c>
      <c r="K9" s="29">
        <f t="shared" si="6"/>
        <v>-1.1863688135480333E-2</v>
      </c>
      <c r="L9" s="30">
        <f t="shared" si="4"/>
        <v>99.517858877600375</v>
      </c>
      <c r="M9" s="31">
        <f t="shared" si="4"/>
        <v>98.813631186451971</v>
      </c>
    </row>
    <row r="10" spans="1:13" x14ac:dyDescent="0.3">
      <c r="A10" s="19">
        <v>45670</v>
      </c>
      <c r="B10" s="20">
        <v>119007</v>
      </c>
      <c r="C10" s="20">
        <v>189075.79</v>
      </c>
      <c r="D10" s="21">
        <v>1.676984</v>
      </c>
      <c r="E10" s="22">
        <v>-1.0349999999999999E-3</v>
      </c>
      <c r="F10" s="29">
        <f t="shared" si="1"/>
        <v>1.2704449081242242E-3</v>
      </c>
      <c r="G10" s="29">
        <f t="shared" si="2"/>
        <v>-5.8517181381920746E-3</v>
      </c>
      <c r="H10" s="29">
        <f t="shared" si="3"/>
        <v>-1.0608315389539658E-2</v>
      </c>
      <c r="I10" s="44" t="str">
        <f t="shared" si="0"/>
        <v>012025</v>
      </c>
      <c r="J10" s="29">
        <f t="shared" si="5"/>
        <v>-5.8514210633794361E-3</v>
      </c>
      <c r="K10" s="29">
        <f t="shared" si="6"/>
        <v>-1.0608315389539436E-2</v>
      </c>
      <c r="L10" s="30">
        <f t="shared" si="4"/>
        <v>99.414857893662059</v>
      </c>
      <c r="M10" s="31">
        <f t="shared" si="4"/>
        <v>98.939168461046066</v>
      </c>
    </row>
    <row r="11" spans="1:13" x14ac:dyDescent="0.3">
      <c r="A11" s="19">
        <v>45671</v>
      </c>
      <c r="B11" s="20">
        <v>119299</v>
      </c>
      <c r="C11" s="20">
        <v>189614.74</v>
      </c>
      <c r="D11" s="21">
        <v>1.681765</v>
      </c>
      <c r="E11" s="22">
        <v>2.8510000000000002E-3</v>
      </c>
      <c r="F11" s="29">
        <f t="shared" si="1"/>
        <v>2.4536371810062185E-3</v>
      </c>
      <c r="G11" s="29">
        <f t="shared" si="2"/>
        <v>-3.0174496326003108E-3</v>
      </c>
      <c r="H11" s="29">
        <f t="shared" si="3"/>
        <v>-8.1807071656011532E-3</v>
      </c>
      <c r="I11" s="44" t="str">
        <f t="shared" si="0"/>
        <v>012025</v>
      </c>
      <c r="J11" s="29">
        <f t="shared" si="5"/>
        <v>-3.0171034648311945E-3</v>
      </c>
      <c r="K11" s="29">
        <f t="shared" si="6"/>
        <v>-8.1807071656008201E-3</v>
      </c>
      <c r="L11" s="30">
        <f t="shared" si="4"/>
        <v>99.698289653516881</v>
      </c>
      <c r="M11" s="31">
        <f t="shared" si="4"/>
        <v>99.181929283439928</v>
      </c>
    </row>
    <row r="12" spans="1:13" x14ac:dyDescent="0.3">
      <c r="A12" s="19">
        <v>45672</v>
      </c>
      <c r="B12" s="20">
        <v>122650</v>
      </c>
      <c r="C12" s="20">
        <v>193622.13</v>
      </c>
      <c r="D12" s="21">
        <v>1.7173080000000001</v>
      </c>
      <c r="E12" s="22">
        <v>2.1134E-2</v>
      </c>
      <c r="F12" s="29">
        <f t="shared" si="1"/>
        <v>2.8089087083714048E-2</v>
      </c>
      <c r="G12" s="29">
        <f t="shared" si="2"/>
        <v>1.8053122526832555E-2</v>
      </c>
      <c r="H12" s="29">
        <f t="shared" si="3"/>
        <v>1.9678591322132011E-2</v>
      </c>
      <c r="I12" s="44" t="str">
        <f t="shared" si="0"/>
        <v>012025</v>
      </c>
      <c r="J12" s="29">
        <f t="shared" si="5"/>
        <v>1.8053133070543126E-2</v>
      </c>
      <c r="K12" s="29">
        <f t="shared" si="6"/>
        <v>1.9678591322132233E-2</v>
      </c>
      <c r="L12" s="30">
        <f t="shared" si="4"/>
        <v>101.80531330705431</v>
      </c>
      <c r="M12" s="31">
        <f t="shared" si="4"/>
        <v>101.96785913221323</v>
      </c>
    </row>
    <row r="13" spans="1:13" x14ac:dyDescent="0.3">
      <c r="A13" s="19">
        <v>45673</v>
      </c>
      <c r="B13" s="20">
        <v>121234</v>
      </c>
      <c r="C13" s="20">
        <v>192816.65</v>
      </c>
      <c r="D13" s="21">
        <v>1.7101630000000001</v>
      </c>
      <c r="E13" s="22">
        <v>-4.1610000000000006E-3</v>
      </c>
      <c r="F13" s="29">
        <f t="shared" si="1"/>
        <v>-1.1545046881369703E-2</v>
      </c>
      <c r="G13" s="29">
        <f t="shared" si="2"/>
        <v>1.3817429476748133E-2</v>
      </c>
      <c r="H13" s="29">
        <f t="shared" si="3"/>
        <v>7.9063541813888527E-3</v>
      </c>
      <c r="I13" s="44" t="str">
        <f t="shared" si="0"/>
        <v>012025</v>
      </c>
      <c r="J13" s="29">
        <f t="shared" si="5"/>
        <v>1.3817013983836723E-2</v>
      </c>
      <c r="K13" s="29">
        <f t="shared" si="6"/>
        <v>7.9063541813892968E-3</v>
      </c>
      <c r="L13" s="30">
        <f t="shared" si="4"/>
        <v>101.38170139838365</v>
      </c>
      <c r="M13" s="31">
        <f t="shared" si="4"/>
        <v>100.79063541813893</v>
      </c>
    </row>
    <row r="14" spans="1:13" x14ac:dyDescent="0.3">
      <c r="A14" s="19">
        <v>45674</v>
      </c>
      <c r="B14" s="20">
        <v>122350</v>
      </c>
      <c r="C14" s="20">
        <v>194729.05</v>
      </c>
      <c r="D14" s="21">
        <v>1.727125</v>
      </c>
      <c r="E14" s="22">
        <v>9.9179999999999997E-3</v>
      </c>
      <c r="F14" s="29">
        <f t="shared" si="1"/>
        <v>9.205338436412136E-3</v>
      </c>
      <c r="G14" s="29">
        <f t="shared" si="2"/>
        <v>2.3872828429236659E-2</v>
      </c>
      <c r="H14" s="29">
        <f t="shared" si="3"/>
        <v>1.7184473283838875E-2</v>
      </c>
      <c r="I14" s="44" t="str">
        <f t="shared" si="0"/>
        <v>012025</v>
      </c>
      <c r="J14" s="29">
        <f t="shared" si="5"/>
        <v>2.3872051128528415E-2</v>
      </c>
      <c r="K14" s="29">
        <f t="shared" si="6"/>
        <v>1.7184473283839319E-2</v>
      </c>
      <c r="L14" s="30">
        <f t="shared" si="4"/>
        <v>102.38720511285284</v>
      </c>
      <c r="M14" s="31">
        <f t="shared" si="4"/>
        <v>101.71844732838393</v>
      </c>
    </row>
    <row r="15" spans="1:13" x14ac:dyDescent="0.3">
      <c r="A15" s="19">
        <v>45677</v>
      </c>
      <c r="B15" s="20">
        <v>122855</v>
      </c>
      <c r="C15" s="20">
        <v>194249.17</v>
      </c>
      <c r="D15" s="21">
        <v>1.722869</v>
      </c>
      <c r="E15" s="22">
        <v>-2.464E-3</v>
      </c>
      <c r="F15" s="29">
        <f t="shared" si="1"/>
        <v>4.1275030649774447E-3</v>
      </c>
      <c r="G15" s="29">
        <f t="shared" si="2"/>
        <v>2.1349789993805102E-2</v>
      </c>
      <c r="H15" s="29">
        <f t="shared" si="3"/>
        <v>2.138290531496545E-2</v>
      </c>
      <c r="I15" s="44" t="str">
        <f t="shared" si="0"/>
        <v>012025</v>
      </c>
      <c r="J15" s="29">
        <f t="shared" si="5"/>
        <v>2.1349230394547725E-2</v>
      </c>
      <c r="K15" s="29">
        <f t="shared" si="6"/>
        <v>2.1382905314965894E-2</v>
      </c>
      <c r="L15" s="30">
        <f t="shared" si="4"/>
        <v>102.13492303945476</v>
      </c>
      <c r="M15" s="31">
        <f t="shared" si="4"/>
        <v>102.13829053149658</v>
      </c>
    </row>
    <row r="16" spans="1:13" x14ac:dyDescent="0.3">
      <c r="A16" s="19">
        <v>45678</v>
      </c>
      <c r="B16" s="20">
        <v>123338</v>
      </c>
      <c r="C16" s="20">
        <v>194748.27</v>
      </c>
      <c r="D16" s="21">
        <v>1.7272959999999999</v>
      </c>
      <c r="E16" s="22">
        <v>2.5700000000000002E-3</v>
      </c>
      <c r="F16" s="29">
        <f t="shared" si="1"/>
        <v>3.9314639208822832E-3</v>
      </c>
      <c r="G16" s="29">
        <f t="shared" si="2"/>
        <v>2.3974200509231602E-2</v>
      </c>
      <c r="H16" s="29">
        <f t="shared" si="3"/>
        <v>2.5398435356617233E-2</v>
      </c>
      <c r="I16" s="44" t="str">
        <f t="shared" si="0"/>
        <v>012025</v>
      </c>
      <c r="J16" s="29">
        <f t="shared" si="5"/>
        <v>2.3974097916661607E-2</v>
      </c>
      <c r="K16" s="29">
        <f t="shared" si="6"/>
        <v>2.5398435356617677E-2</v>
      </c>
      <c r="L16" s="30">
        <f t="shared" si="4"/>
        <v>102.39740979166616</v>
      </c>
      <c r="M16" s="31">
        <f t="shared" si="4"/>
        <v>102.53984353566175</v>
      </c>
    </row>
    <row r="17" spans="1:13" x14ac:dyDescent="0.3">
      <c r="A17" s="19">
        <v>45679</v>
      </c>
      <c r="B17" s="20">
        <v>122972</v>
      </c>
      <c r="C17" s="20">
        <v>194725.78</v>
      </c>
      <c r="D17" s="21">
        <v>1.727096</v>
      </c>
      <c r="E17" s="22">
        <v>-1.1599999999999999E-4</v>
      </c>
      <c r="F17" s="29">
        <f t="shared" si="1"/>
        <v>-2.9674552854757064E-3</v>
      </c>
      <c r="G17" s="29">
        <f t="shared" si="2"/>
        <v>2.3855636672980074E-2</v>
      </c>
      <c r="H17" s="29">
        <f t="shared" si="3"/>
        <v>2.2355611349899718E-2</v>
      </c>
      <c r="I17" s="44" t="str">
        <f t="shared" si="0"/>
        <v>012025</v>
      </c>
      <c r="J17" s="29">
        <f t="shared" si="5"/>
        <v>2.385531692130316E-2</v>
      </c>
      <c r="K17" s="29">
        <f t="shared" si="6"/>
        <v>2.2355611349900162E-2</v>
      </c>
      <c r="L17" s="30">
        <f t="shared" si="4"/>
        <v>102.38553169213033</v>
      </c>
      <c r="M17" s="31">
        <f t="shared" si="4"/>
        <v>102.23556113498999</v>
      </c>
    </row>
    <row r="18" spans="1:13" x14ac:dyDescent="0.3">
      <c r="A18" s="19">
        <v>45680</v>
      </c>
      <c r="B18" s="20">
        <v>122483</v>
      </c>
      <c r="C18" s="20">
        <v>194597.19</v>
      </c>
      <c r="D18" s="21">
        <v>1.725956</v>
      </c>
      <c r="E18" s="22">
        <v>-6.6E-4</v>
      </c>
      <c r="F18" s="29">
        <f t="shared" si="1"/>
        <v>-3.9765149790196297E-3</v>
      </c>
      <c r="G18" s="29">
        <f t="shared" si="2"/>
        <v>2.3179822806346673E-2</v>
      </c>
      <c r="H18" s="29">
        <f t="shared" si="3"/>
        <v>1.8290198947482184E-2</v>
      </c>
      <c r="I18" s="44" t="str">
        <f t="shared" si="0"/>
        <v>012025</v>
      </c>
      <c r="J18" s="29">
        <f t="shared" si="5"/>
        <v>2.3179572412135085E-2</v>
      </c>
      <c r="K18" s="29">
        <f t="shared" si="6"/>
        <v>1.8290198947482406E-2</v>
      </c>
      <c r="L18" s="30">
        <f t="shared" si="4"/>
        <v>102.31795724121352</v>
      </c>
      <c r="M18" s="31">
        <f t="shared" si="4"/>
        <v>101.82901989474823</v>
      </c>
    </row>
    <row r="19" spans="1:13" x14ac:dyDescent="0.3">
      <c r="A19" s="19">
        <v>45681</v>
      </c>
      <c r="B19" s="20">
        <v>122447</v>
      </c>
      <c r="C19" s="20">
        <v>115428.73</v>
      </c>
      <c r="D19" s="21">
        <v>1.7247189999999999</v>
      </c>
      <c r="E19" s="22">
        <v>-7.1699999999999997E-4</v>
      </c>
      <c r="F19" s="29">
        <f t="shared" si="1"/>
        <v>-2.9391833968794856E-4</v>
      </c>
      <c r="G19" s="29">
        <f t="shared" si="2"/>
        <v>2.2446505479131185E-2</v>
      </c>
      <c r="H19" s="29">
        <f t="shared" si="3"/>
        <v>1.7990904782887007E-2</v>
      </c>
      <c r="I19" s="44" t="str">
        <f t="shared" si="0"/>
        <v>012025</v>
      </c>
      <c r="J19" s="29">
        <f t="shared" si="5"/>
        <v>2.2445952658715518E-2</v>
      </c>
      <c r="K19" s="29">
        <f t="shared" si="6"/>
        <v>1.7990904782887229E-2</v>
      </c>
      <c r="L19" s="30">
        <f t="shared" si="4"/>
        <v>102.24459526587157</v>
      </c>
      <c r="M19" s="31">
        <f t="shared" si="4"/>
        <v>101.79909047828872</v>
      </c>
    </row>
    <row r="20" spans="1:13" x14ac:dyDescent="0.3">
      <c r="A20" s="19">
        <v>45684</v>
      </c>
      <c r="B20" s="20">
        <v>124862</v>
      </c>
      <c r="C20" s="20">
        <v>116666.32</v>
      </c>
      <c r="D20" s="21">
        <v>1.7432110000000001</v>
      </c>
      <c r="E20" s="22">
        <v>1.0722000000000001E-2</v>
      </c>
      <c r="F20" s="29">
        <f t="shared" si="1"/>
        <v>1.9722818852238033E-2</v>
      </c>
      <c r="G20" s="29">
        <f t="shared" si="2"/>
        <v>3.3408917778943614E-2</v>
      </c>
      <c r="H20" s="29">
        <f t="shared" si="3"/>
        <v>3.806855499114592E-2</v>
      </c>
      <c r="I20" s="44" t="str">
        <f t="shared" si="0"/>
        <v>012025</v>
      </c>
      <c r="J20" s="29">
        <f t="shared" si="5"/>
        <v>3.3408618163122128E-2</v>
      </c>
      <c r="K20" s="29">
        <f t="shared" si="6"/>
        <v>3.806855499114592E-2</v>
      </c>
      <c r="L20" s="30">
        <f t="shared" ref="L20:M35" si="7">L19*(1+E20)</f>
        <v>103.34086181631223</v>
      </c>
      <c r="M20" s="31">
        <f t="shared" si="7"/>
        <v>103.80685549911459</v>
      </c>
    </row>
    <row r="21" spans="1:13" x14ac:dyDescent="0.3">
      <c r="A21" s="19">
        <v>45685</v>
      </c>
      <c r="B21" s="20">
        <v>124056</v>
      </c>
      <c r="C21" s="20">
        <v>116427.47</v>
      </c>
      <c r="D21" s="21">
        <v>1.7396419999999999</v>
      </c>
      <c r="E21" s="22">
        <v>-2.0469999999999998E-3</v>
      </c>
      <c r="F21" s="29">
        <f t="shared" si="1"/>
        <v>-6.4551264596114377E-3</v>
      </c>
      <c r="G21" s="29">
        <f t="shared" si="2"/>
        <v>3.1293146121035953E-2</v>
      </c>
      <c r="H21" s="29">
        <f t="shared" si="3"/>
        <v>3.1367691194931879E-2</v>
      </c>
      <c r="I21" s="44" t="str">
        <f t="shared" si="0"/>
        <v>012025</v>
      </c>
      <c r="J21" s="29">
        <f t="shared" si="5"/>
        <v>3.1293230721742171E-2</v>
      </c>
      <c r="K21" s="29">
        <f t="shared" si="6"/>
        <v>3.1367691194931879E-2</v>
      </c>
      <c r="L21" s="30">
        <f t="shared" si="7"/>
        <v>103.12932307217423</v>
      </c>
      <c r="M21" s="31">
        <f t="shared" si="7"/>
        <v>103.1367691194932</v>
      </c>
    </row>
    <row r="22" spans="1:13" x14ac:dyDescent="0.3">
      <c r="A22" s="19">
        <v>45686</v>
      </c>
      <c r="B22" s="20">
        <v>123432</v>
      </c>
      <c r="C22" s="20">
        <v>115774.93</v>
      </c>
      <c r="D22" s="21">
        <v>1.729892</v>
      </c>
      <c r="E22" s="22">
        <v>-5.6049999999999997E-3</v>
      </c>
      <c r="F22" s="29">
        <f t="shared" si="1"/>
        <v>-5.0299864577287856E-3</v>
      </c>
      <c r="G22" s="29">
        <f t="shared" si="2"/>
        <v>2.5513159103776051E-2</v>
      </c>
      <c r="H22" s="29">
        <f t="shared" si="3"/>
        <v>2.6179925675282378E-2</v>
      </c>
      <c r="I22" s="44" t="str">
        <f t="shared" si="0"/>
        <v>012025</v>
      </c>
      <c r="J22" s="29">
        <f t="shared" si="5"/>
        <v>2.5512832163546939E-2</v>
      </c>
      <c r="K22" s="29">
        <f t="shared" si="6"/>
        <v>2.6179925675282378E-2</v>
      </c>
      <c r="L22" s="30">
        <f t="shared" si="7"/>
        <v>102.55128321635469</v>
      </c>
      <c r="M22" s="31">
        <f t="shared" si="7"/>
        <v>102.61799256752825</v>
      </c>
    </row>
    <row r="23" spans="1:13" x14ac:dyDescent="0.3">
      <c r="A23" s="19">
        <v>45687</v>
      </c>
      <c r="B23" s="20">
        <v>126912</v>
      </c>
      <c r="C23" s="20">
        <v>117435.79</v>
      </c>
      <c r="D23" s="21">
        <v>1.7547079999999999</v>
      </c>
      <c r="E23" s="22">
        <v>1.4345000000000002E-2</v>
      </c>
      <c r="F23" s="29">
        <f t="shared" si="1"/>
        <v>2.8193661287186478E-2</v>
      </c>
      <c r="G23" s="29">
        <f t="shared" si="2"/>
        <v>4.022455990586038E-2</v>
      </c>
      <c r="H23" s="29">
        <f t="shared" si="3"/>
        <v>5.5111694919481646E-2</v>
      </c>
      <c r="I23" s="44" t="str">
        <f t="shared" si="0"/>
        <v>012025</v>
      </c>
      <c r="J23" s="29">
        <f t="shared" si="5"/>
        <v>4.0223813740932979E-2</v>
      </c>
      <c r="K23" s="29">
        <f t="shared" si="6"/>
        <v>5.5111694919481424E-2</v>
      </c>
      <c r="L23" s="30">
        <f t="shared" si="7"/>
        <v>104.0223813740933</v>
      </c>
      <c r="M23" s="31">
        <f t="shared" si="7"/>
        <v>105.51116949194815</v>
      </c>
    </row>
    <row r="24" spans="1:13" x14ac:dyDescent="0.3">
      <c r="A24" s="19">
        <v>45688</v>
      </c>
      <c r="B24" s="20">
        <v>126135</v>
      </c>
      <c r="C24" s="20">
        <v>116861.75999999999</v>
      </c>
      <c r="D24" s="23">
        <v>1.7461310000000001</v>
      </c>
      <c r="E24" s="24">
        <v>-4.888E-3</v>
      </c>
      <c r="F24" s="29">
        <f t="shared" si="1"/>
        <v>-6.1223524962178422E-3</v>
      </c>
      <c r="G24" s="29">
        <f t="shared" si="2"/>
        <v>3.5139949788215441E-2</v>
      </c>
      <c r="H24" s="29">
        <f t="shared" si="3"/>
        <v>4.8651929200302702E-2</v>
      </c>
      <c r="I24" s="44" t="str">
        <f t="shared" si="0"/>
        <v>012025</v>
      </c>
      <c r="J24" s="29">
        <f t="shared" si="5"/>
        <v>3.5139199739367299E-2</v>
      </c>
      <c r="K24" s="29">
        <f t="shared" si="6"/>
        <v>4.8651929200302479E-2</v>
      </c>
      <c r="L24" s="30">
        <f t="shared" si="7"/>
        <v>103.51391997393674</v>
      </c>
      <c r="M24" s="31">
        <f t="shared" si="7"/>
        <v>104.86519292003025</v>
      </c>
    </row>
    <row r="25" spans="1:13" x14ac:dyDescent="0.3">
      <c r="A25" s="19">
        <v>45691</v>
      </c>
      <c r="B25" s="20">
        <v>125970</v>
      </c>
      <c r="C25" s="20">
        <v>116473.55</v>
      </c>
      <c r="D25" s="21">
        <v>1.7403299999999999</v>
      </c>
      <c r="E25" s="22">
        <v>-3.3219999999999999E-3</v>
      </c>
      <c r="F25" s="29">
        <f t="shared" si="1"/>
        <v>-1.3081222499702339E-3</v>
      </c>
      <c r="G25" s="29">
        <f t="shared" si="2"/>
        <v>3.1701005717740927E-2</v>
      </c>
      <c r="H25" s="29">
        <f t="shared" si="3"/>
        <v>4.7280164279241532E-2</v>
      </c>
      <c r="I25" s="44" t="str">
        <f t="shared" si="0"/>
        <v>022025</v>
      </c>
      <c r="J25" s="29">
        <f t="shared" si="5"/>
        <v>-3.3219999999999999E-3</v>
      </c>
      <c r="K25" s="29">
        <f t="shared" si="6"/>
        <v>-1.3081222499702339E-3</v>
      </c>
      <c r="L25" s="30">
        <f t="shared" si="7"/>
        <v>103.17004673178332</v>
      </c>
      <c r="M25" s="31">
        <f t="shared" si="7"/>
        <v>104.72801642792415</v>
      </c>
    </row>
    <row r="26" spans="1:13" x14ac:dyDescent="0.3">
      <c r="A26" s="19">
        <v>45692</v>
      </c>
      <c r="B26" s="20">
        <v>125147</v>
      </c>
      <c r="C26" s="20">
        <v>116214.28</v>
      </c>
      <c r="D26" s="21">
        <v>1.736456</v>
      </c>
      <c r="E26" s="22">
        <v>-2.2260000000000001E-3</v>
      </c>
      <c r="F26" s="29">
        <f t="shared" si="1"/>
        <v>-6.5333015797411909E-3</v>
      </c>
      <c r="G26" s="29">
        <f t="shared" si="2"/>
        <v>2.9404424209549695E-2</v>
      </c>
      <c r="H26" s="29">
        <f t="shared" si="3"/>
        <v>4.0437967127524344E-2</v>
      </c>
      <c r="I26" s="44" t="str">
        <f t="shared" si="0"/>
        <v>022025</v>
      </c>
      <c r="J26" s="29">
        <f t="shared" si="5"/>
        <v>-5.5406052280000395E-3</v>
      </c>
      <c r="K26" s="29">
        <f t="shared" si="6"/>
        <v>-7.8328774725492378E-3</v>
      </c>
      <c r="L26" s="30">
        <f t="shared" si="7"/>
        <v>102.94039020775837</v>
      </c>
      <c r="M26" s="31">
        <f t="shared" si="7"/>
        <v>104.04379671275242</v>
      </c>
    </row>
    <row r="27" spans="1:13" x14ac:dyDescent="0.3">
      <c r="A27" s="19">
        <v>45693</v>
      </c>
      <c r="B27" s="20">
        <v>125534</v>
      </c>
      <c r="C27" s="20">
        <v>116326.51</v>
      </c>
      <c r="D27" s="21">
        <v>1.7381329999999999</v>
      </c>
      <c r="E27" s="22">
        <v>9.6600000000000006E-4</v>
      </c>
      <c r="F27" s="29">
        <f t="shared" si="1"/>
        <v>3.0923633806643203E-3</v>
      </c>
      <c r="G27" s="29">
        <f t="shared" si="2"/>
        <v>3.0398581976518457E-2</v>
      </c>
      <c r="H27" s="29">
        <f t="shared" si="3"/>
        <v>4.3655379396922322E-2</v>
      </c>
      <c r="I27" s="44" t="str">
        <f t="shared" si="0"/>
        <v>022025</v>
      </c>
      <c r="J27" s="29">
        <f t="shared" si="5"/>
        <v>-4.579957452650274E-3</v>
      </c>
      <c r="K27" s="29">
        <f t="shared" si="6"/>
        <v>-4.7647361953462308E-3</v>
      </c>
      <c r="L27" s="30">
        <f t="shared" si="7"/>
        <v>103.03983062469906</v>
      </c>
      <c r="M27" s="31">
        <f t="shared" si="7"/>
        <v>104.36553793969222</v>
      </c>
    </row>
    <row r="28" spans="1:13" x14ac:dyDescent="0.3">
      <c r="A28" s="19">
        <v>45694</v>
      </c>
      <c r="B28" s="20">
        <v>126225</v>
      </c>
      <c r="C28" s="20">
        <v>116888.31</v>
      </c>
      <c r="D28" s="21">
        <v>1.7465280000000001</v>
      </c>
      <c r="E28" s="22">
        <v>4.8300000000000001E-3</v>
      </c>
      <c r="F28" s="29">
        <f t="shared" si="1"/>
        <v>5.5044848407603819E-3</v>
      </c>
      <c r="G28" s="29">
        <f t="shared" si="2"/>
        <v>3.5375299003174598E-2</v>
      </c>
      <c r="H28" s="29">
        <f t="shared" si="3"/>
        <v>4.9400164611790531E-2</v>
      </c>
      <c r="I28" s="44" t="str">
        <f t="shared" si="0"/>
        <v>022025</v>
      </c>
      <c r="J28" s="29">
        <f t="shared" si="5"/>
        <v>2.2792135285332193E-4</v>
      </c>
      <c r="K28" s="29">
        <f t="shared" si="6"/>
        <v>7.1352122725665268E-4</v>
      </c>
      <c r="L28" s="30">
        <f t="shared" si="7"/>
        <v>103.53751300661635</v>
      </c>
      <c r="M28" s="31">
        <f t="shared" si="7"/>
        <v>104.94001646117906</v>
      </c>
    </row>
    <row r="29" spans="1:13" x14ac:dyDescent="0.3">
      <c r="A29" s="19">
        <v>45695</v>
      </c>
      <c r="B29" s="20">
        <v>124619</v>
      </c>
      <c r="C29" s="20">
        <v>116426.21</v>
      </c>
      <c r="D29" s="21">
        <v>1.7343930000000001</v>
      </c>
      <c r="E29" s="22">
        <v>-6.9479999999999993E-3</v>
      </c>
      <c r="F29" s="29">
        <f t="shared" si="1"/>
        <v>-1.2723311546840921E-2</v>
      </c>
      <c r="G29" s="29">
        <f t="shared" si="2"/>
        <v>2.818143823861563E-2</v>
      </c>
      <c r="H29" s="29">
        <f t="shared" si="3"/>
        <v>3.6048319380128424E-2</v>
      </c>
      <c r="I29" s="44" t="str">
        <f t="shared" si="0"/>
        <v>022025</v>
      </c>
      <c r="J29" s="29">
        <f t="shared" si="5"/>
        <v>-6.7216622447062724E-3</v>
      </c>
      <c r="K29" s="29">
        <f t="shared" si="6"/>
        <v>-1.2018868672453942E-2</v>
      </c>
      <c r="L29" s="30">
        <f t="shared" si="7"/>
        <v>102.81813436624638</v>
      </c>
      <c r="M29" s="31">
        <f t="shared" si="7"/>
        <v>103.60483193801286</v>
      </c>
    </row>
    <row r="30" spans="1:13" x14ac:dyDescent="0.3">
      <c r="A30" s="19">
        <v>45698</v>
      </c>
      <c r="B30" s="20">
        <v>125572</v>
      </c>
      <c r="C30" s="20">
        <v>117806.27</v>
      </c>
      <c r="D30" s="21">
        <v>1.7400549999999999</v>
      </c>
      <c r="E30" s="22">
        <v>3.2650000000000001E-3</v>
      </c>
      <c r="F30" s="29">
        <f t="shared" si="1"/>
        <v>7.6473089978252862E-3</v>
      </c>
      <c r="G30" s="29">
        <f t="shared" si="2"/>
        <v>3.1537980442895241E-2</v>
      </c>
      <c r="H30" s="29">
        <f t="shared" si="3"/>
        <v>4.3971301015105935E-2</v>
      </c>
      <c r="I30" s="44" t="str">
        <f t="shared" si="0"/>
        <v>022025</v>
      </c>
      <c r="J30" s="29">
        <f t="shared" si="5"/>
        <v>-3.4786084719351518E-3</v>
      </c>
      <c r="K30" s="29">
        <f t="shared" si="6"/>
        <v>-4.4634716771712046E-3</v>
      </c>
      <c r="L30" s="30">
        <f t="shared" si="7"/>
        <v>103.15383557495218</v>
      </c>
      <c r="M30" s="31">
        <f t="shared" si="7"/>
        <v>104.39713010151061</v>
      </c>
    </row>
    <row r="31" spans="1:13" x14ac:dyDescent="0.3">
      <c r="A31" s="19">
        <v>45699</v>
      </c>
      <c r="B31" s="20">
        <v>126522</v>
      </c>
      <c r="C31" s="20">
        <v>129447.48</v>
      </c>
      <c r="D31" s="21">
        <v>1.7495259999999999</v>
      </c>
      <c r="E31" s="22">
        <v>5.4429999999999999E-3</v>
      </c>
      <c r="F31" s="29">
        <f t="shared" si="1"/>
        <v>7.5653808173796744E-3</v>
      </c>
      <c r="G31" s="29">
        <f t="shared" si="2"/>
        <v>3.7152570908584259E-2</v>
      </c>
      <c r="H31" s="29">
        <f t="shared" si="3"/>
        <v>5.186934146970068E-2</v>
      </c>
      <c r="I31" s="44" t="str">
        <f t="shared" si="0"/>
        <v>022025</v>
      </c>
      <c r="J31" s="29">
        <f t="shared" si="5"/>
        <v>1.9454574621522447E-3</v>
      </c>
      <c r="K31" s="29">
        <f t="shared" si="6"/>
        <v>3.068141277203118E-3</v>
      </c>
      <c r="L31" s="30">
        <f t="shared" si="7"/>
        <v>103.71530190198666</v>
      </c>
      <c r="M31" s="31">
        <f t="shared" si="7"/>
        <v>105.18693414697007</v>
      </c>
    </row>
    <row r="32" spans="1:13" x14ac:dyDescent="0.3">
      <c r="A32" s="19">
        <v>45700</v>
      </c>
      <c r="B32" s="20">
        <v>124380</v>
      </c>
      <c r="C32" s="20">
        <v>128266.21</v>
      </c>
      <c r="D32" s="21">
        <v>1.7335609999999999</v>
      </c>
      <c r="E32" s="22">
        <v>-9.1249999999999994E-3</v>
      </c>
      <c r="F32" s="29">
        <f t="shared" si="1"/>
        <v>-1.6929862000284568E-2</v>
      </c>
      <c r="G32" s="29">
        <f t="shared" si="2"/>
        <v>2.7688212679809476E-2</v>
      </c>
      <c r="H32" s="29">
        <f t="shared" si="3"/>
        <v>3.4061338676288466E-2</v>
      </c>
      <c r="I32" s="44" t="str">
        <f t="shared" si="0"/>
        <v>022025</v>
      </c>
      <c r="J32" s="29">
        <f t="shared" si="5"/>
        <v>-7.1972948371898937E-3</v>
      </c>
      <c r="K32" s="29">
        <f t="shared" si="6"/>
        <v>-1.3913663931501841E-2</v>
      </c>
      <c r="L32" s="30">
        <f t="shared" si="7"/>
        <v>102.76889977213104</v>
      </c>
      <c r="M32" s="31">
        <f t="shared" si="7"/>
        <v>103.40613386762885</v>
      </c>
    </row>
    <row r="33" spans="1:14" x14ac:dyDescent="0.3">
      <c r="A33" s="19">
        <v>45701</v>
      </c>
      <c r="B33" s="20">
        <v>124850</v>
      </c>
      <c r="C33" s="20">
        <v>128430.07</v>
      </c>
      <c r="D33" s="21">
        <v>1.7357750000000001</v>
      </c>
      <c r="E33" s="22">
        <v>1.2770000000000001E-3</v>
      </c>
      <c r="F33" s="29">
        <f t="shared" si="1"/>
        <v>3.7787425631130578E-3</v>
      </c>
      <c r="G33" s="29">
        <f t="shared" si="2"/>
        <v>2.9000714347113377E-2</v>
      </c>
      <c r="H33" s="29">
        <f t="shared" si="3"/>
        <v>3.7968790269614194E-2</v>
      </c>
      <c r="I33" s="44" t="str">
        <f t="shared" si="0"/>
        <v>022025</v>
      </c>
      <c r="J33" s="29">
        <f t="shared" si="5"/>
        <v>-5.9294857826970304E-3</v>
      </c>
      <c r="K33" s="29">
        <f t="shared" si="6"/>
        <v>-1.0187497522495592E-2</v>
      </c>
      <c r="L33" s="30">
        <f t="shared" si="7"/>
        <v>102.90013565714004</v>
      </c>
      <c r="M33" s="31">
        <f t="shared" si="7"/>
        <v>103.79687902696143</v>
      </c>
    </row>
    <row r="34" spans="1:14" x14ac:dyDescent="0.3">
      <c r="A34" s="19">
        <v>45702</v>
      </c>
      <c r="B34" s="20">
        <v>128219</v>
      </c>
      <c r="C34" s="20">
        <v>131057.36</v>
      </c>
      <c r="D34" s="21">
        <v>1.764526</v>
      </c>
      <c r="E34" s="22">
        <v>1.6564000000000002E-2</v>
      </c>
      <c r="F34" s="29">
        <f t="shared" si="1"/>
        <v>2.6984381257509016E-2</v>
      </c>
      <c r="G34" s="29">
        <f t="shared" si="2"/>
        <v>4.6044858627445784E-2</v>
      </c>
      <c r="H34" s="29">
        <f t="shared" si="3"/>
        <v>6.5977735839644946E-2</v>
      </c>
      <c r="I34" s="44" t="str">
        <f t="shared" si="0"/>
        <v>022025</v>
      </c>
      <c r="J34" s="29">
        <f t="shared" si="5"/>
        <v>1.053629821479829E-2</v>
      </c>
      <c r="K34" s="29">
        <f t="shared" si="6"/>
        <v>1.6521980417806503E-2</v>
      </c>
      <c r="L34" s="30">
        <f t="shared" si="7"/>
        <v>104.6045735041649</v>
      </c>
      <c r="M34" s="31">
        <f t="shared" si="7"/>
        <v>106.5977735839645</v>
      </c>
    </row>
    <row r="35" spans="1:14" x14ac:dyDescent="0.3">
      <c r="A35" s="19">
        <v>45705</v>
      </c>
      <c r="B35" s="20">
        <v>128552</v>
      </c>
      <c r="C35" s="20">
        <v>131536.37</v>
      </c>
      <c r="D35" s="21">
        <v>1.7709760000000001</v>
      </c>
      <c r="E35" s="22">
        <v>3.6549999999999998E-3</v>
      </c>
      <c r="F35" s="29">
        <f t="shared" si="1"/>
        <v>2.5971189917251003E-3</v>
      </c>
      <c r="G35" s="29">
        <f t="shared" si="2"/>
        <v>4.9868542346556133E-2</v>
      </c>
      <c r="H35" s="29">
        <f t="shared" si="3"/>
        <v>6.874620686215005E-2</v>
      </c>
      <c r="I35" s="44" t="str">
        <f t="shared" si="0"/>
        <v>022025</v>
      </c>
      <c r="J35" s="29">
        <f t="shared" si="5"/>
        <v>1.422980838477339E-2</v>
      </c>
      <c r="K35" s="29">
        <f t="shared" si="6"/>
        <v>1.9162008958655496E-2</v>
      </c>
      <c r="L35" s="30">
        <f t="shared" si="7"/>
        <v>104.98690322032262</v>
      </c>
      <c r="M35" s="31">
        <f t="shared" si="7"/>
        <v>106.87462068621502</v>
      </c>
    </row>
    <row r="36" spans="1:14" x14ac:dyDescent="0.3">
      <c r="A36" s="19">
        <v>45706</v>
      </c>
      <c r="B36" s="20">
        <v>128532</v>
      </c>
      <c r="C36" s="20">
        <v>131868.91</v>
      </c>
      <c r="D36" s="21">
        <v>1.7754529999999999</v>
      </c>
      <c r="E36" s="22">
        <v>2.5280000000000003E-3</v>
      </c>
      <c r="F36" s="29">
        <f t="shared" si="1"/>
        <v>-1.555790652809641E-4</v>
      </c>
      <c r="G36" s="29">
        <f t="shared" si="2"/>
        <v>5.2522593821045627E-2</v>
      </c>
      <c r="H36" s="29">
        <f t="shared" si="3"/>
        <v>6.8579932326263915E-2</v>
      </c>
      <c r="I36" s="44" t="str">
        <f t="shared" si="0"/>
        <v>022025</v>
      </c>
      <c r="J36" s="29">
        <f t="shared" si="5"/>
        <v>1.679378134037024E-2</v>
      </c>
      <c r="K36" s="29">
        <f t="shared" si="6"/>
        <v>1.9003448685931845E-2</v>
      </c>
      <c r="L36" s="30">
        <f t="shared" ref="L36:M42" si="8">L35*(1+E36)</f>
        <v>105.2523101116636</v>
      </c>
      <c r="M36" s="31">
        <f t="shared" si="8"/>
        <v>106.8579932326264</v>
      </c>
    </row>
    <row r="37" spans="1:14" x14ac:dyDescent="0.3">
      <c r="A37" s="19">
        <v>45707</v>
      </c>
      <c r="B37" s="20">
        <v>127309</v>
      </c>
      <c r="C37" s="20">
        <v>131184.46</v>
      </c>
      <c r="D37" s="21">
        <v>1.766238</v>
      </c>
      <c r="E37" s="22">
        <v>-5.1900000000000002E-3</v>
      </c>
      <c r="F37" s="29">
        <f t="shared" si="1"/>
        <v>-9.5151401985498207E-3</v>
      </c>
      <c r="G37" s="29">
        <f t="shared" si="2"/>
        <v>4.7059765065758485E-2</v>
      </c>
      <c r="H37" s="29">
        <f t="shared" si="3"/>
        <v>5.8412244456822693E-2</v>
      </c>
      <c r="I37" s="44" t="str">
        <f t="shared" si="0"/>
        <v>022025</v>
      </c>
      <c r="J37" s="29">
        <f t="shared" si="5"/>
        <v>1.1516621615213607E-2</v>
      </c>
      <c r="K37" s="29">
        <f t="shared" si="6"/>
        <v>9.3074880088794831E-3</v>
      </c>
      <c r="L37" s="30">
        <f t="shared" si="8"/>
        <v>104.70605062218407</v>
      </c>
      <c r="M37" s="31">
        <f t="shared" si="8"/>
        <v>105.84122444568227</v>
      </c>
    </row>
    <row r="38" spans="1:14" x14ac:dyDescent="0.3">
      <c r="A38" s="19">
        <v>45708</v>
      </c>
      <c r="B38" s="20">
        <v>127601</v>
      </c>
      <c r="C38" s="20">
        <v>131339.37</v>
      </c>
      <c r="D38" s="21">
        <v>1.7683230000000001</v>
      </c>
      <c r="E38" s="22">
        <v>1.1799999999999998E-3</v>
      </c>
      <c r="F38" s="29">
        <f t="shared" si="1"/>
        <v>2.2936320291573331E-3</v>
      </c>
      <c r="G38" s="29">
        <f t="shared" si="2"/>
        <v>4.8295793058680259E-2</v>
      </c>
      <c r="H38" s="29">
        <f t="shared" si="3"/>
        <v>6.0839852680761197E-2</v>
      </c>
      <c r="I38" s="44" t="str">
        <f t="shared" si="0"/>
        <v>022025</v>
      </c>
      <c r="J38" s="29">
        <f t="shared" si="5"/>
        <v>1.2710211228719626E-2</v>
      </c>
      <c r="K38" s="29">
        <f t="shared" si="6"/>
        <v>1.1622467990644925E-2</v>
      </c>
      <c r="L38" s="30">
        <f t="shared" si="8"/>
        <v>104.82960376191824</v>
      </c>
      <c r="M38" s="31">
        <f t="shared" si="8"/>
        <v>106.08398526807612</v>
      </c>
    </row>
    <row r="39" spans="1:14" x14ac:dyDescent="0.3">
      <c r="A39" s="19">
        <v>45709</v>
      </c>
      <c r="B39" s="20">
        <v>127128</v>
      </c>
      <c r="C39" s="20">
        <v>130629.04</v>
      </c>
      <c r="D39" s="21">
        <v>1.7587600000000001</v>
      </c>
      <c r="E39" s="22">
        <v>-5.4079999999999996E-3</v>
      </c>
      <c r="F39" s="29">
        <f t="shared" si="1"/>
        <v>-3.7068675010384355E-3</v>
      </c>
      <c r="G39" s="29">
        <f t="shared" si="2"/>
        <v>4.2626663228315431E-2</v>
      </c>
      <c r="H39" s="29">
        <f t="shared" si="3"/>
        <v>5.6907459907052482E-2</v>
      </c>
      <c r="I39" s="44" t="str">
        <f t="shared" si="0"/>
        <v>022025</v>
      </c>
      <c r="J39" s="29">
        <f t="shared" si="5"/>
        <v>7.2334744063946577E-3</v>
      </c>
      <c r="K39" s="29">
        <f t="shared" si="6"/>
        <v>7.8725175407301506E-3</v>
      </c>
      <c r="L39" s="30">
        <f t="shared" si="8"/>
        <v>104.26268526477378</v>
      </c>
      <c r="M39" s="31">
        <f t="shared" si="8"/>
        <v>105.69074599070525</v>
      </c>
    </row>
    <row r="40" spans="1:14" x14ac:dyDescent="0.3">
      <c r="A40" s="19">
        <v>45712</v>
      </c>
      <c r="B40" s="20">
        <v>125401</v>
      </c>
      <c r="C40" s="20">
        <v>129656.78</v>
      </c>
      <c r="D40" s="21">
        <v>1.7456689999999999</v>
      </c>
      <c r="E40" s="22">
        <v>-7.443E-3</v>
      </c>
      <c r="F40" s="29">
        <f t="shared" si="1"/>
        <v>-1.3584733496947998E-2</v>
      </c>
      <c r="G40" s="29">
        <f t="shared" si="2"/>
        <v>3.4866067326474459E-2</v>
      </c>
      <c r="H40" s="29">
        <f t="shared" si="3"/>
        <v>4.2549653733279014E-2</v>
      </c>
      <c r="I40" s="44" t="str">
        <f t="shared" si="0"/>
        <v>022025</v>
      </c>
      <c r="J40" s="29">
        <f t="shared" si="5"/>
        <v>-2.6336434361207139E-4</v>
      </c>
      <c r="K40" s="29">
        <f t="shared" si="6"/>
        <v>-5.8191620089587115E-3</v>
      </c>
      <c r="L40" s="30">
        <f t="shared" si="8"/>
        <v>103.48665809834807</v>
      </c>
      <c r="M40" s="31">
        <f t="shared" si="8"/>
        <v>104.25496537332789</v>
      </c>
      <c r="N40" s="1"/>
    </row>
    <row r="41" spans="1:14" x14ac:dyDescent="0.3">
      <c r="A41" s="19">
        <v>45713</v>
      </c>
      <c r="B41" s="20">
        <v>125980</v>
      </c>
      <c r="C41" s="20">
        <v>129567.19</v>
      </c>
      <c r="D41" s="21">
        <v>1.7444630000000001</v>
      </c>
      <c r="E41" s="22">
        <v>-6.9099999999999999E-4</v>
      </c>
      <c r="F41" s="29">
        <f>B41/B40-1</f>
        <v>4.6171880607013271E-3</v>
      </c>
      <c r="G41" s="29">
        <f t="shared" si="2"/>
        <v>3.4151127393877934E-2</v>
      </c>
      <c r="H41" s="29">
        <f t="shared" si="3"/>
        <v>4.73633015471846E-2</v>
      </c>
      <c r="I41" s="44" t="str">
        <f t="shared" si="0"/>
        <v>022025</v>
      </c>
      <c r="J41" s="29">
        <f t="shared" si="5"/>
        <v>-9.54182358850586E-4</v>
      </c>
      <c r="K41" s="29">
        <f t="shared" si="6"/>
        <v>-1.2288421136084082E-3</v>
      </c>
      <c r="L41" s="30">
        <f t="shared" si="8"/>
        <v>103.41514881760212</v>
      </c>
      <c r="M41" s="31">
        <f t="shared" si="8"/>
        <v>104.73633015471844</v>
      </c>
    </row>
    <row r="42" spans="1:14" ht="15" thickBot="1" x14ac:dyDescent="0.35">
      <c r="A42" s="25">
        <v>45714</v>
      </c>
      <c r="B42" s="26">
        <v>124769</v>
      </c>
      <c r="C42" s="26">
        <v>129655.75</v>
      </c>
      <c r="D42" s="27">
        <v>1.745655</v>
      </c>
      <c r="E42" s="28">
        <v>6.8300000000000001E-4</v>
      </c>
      <c r="F42" s="32">
        <f>B42/B41-1</f>
        <v>-9.6126369264962763E-3</v>
      </c>
      <c r="G42" s="32">
        <f t="shared" si="2"/>
        <v>3.4857767857936706E-2</v>
      </c>
      <c r="H42" s="32">
        <f t="shared" si="3"/>
        <v>3.7295378399275103E-2</v>
      </c>
      <c r="I42" s="45" t="str">
        <f t="shared" si="0"/>
        <v>022025</v>
      </c>
      <c r="J42" s="32">
        <f t="shared" si="5"/>
        <v>-2.7183406540165489E-4</v>
      </c>
      <c r="K42" s="32">
        <f t="shared" si="6"/>
        <v>-1.0829666627026557E-2</v>
      </c>
      <c r="L42" s="33">
        <f t="shared" si="8"/>
        <v>103.48578136424453</v>
      </c>
      <c r="M42" s="34">
        <f t="shared" si="8"/>
        <v>103.72953783992749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FF2B-1847-4160-BE18-64A7C8438401}">
  <dimension ref="A1:J35"/>
  <sheetViews>
    <sheetView showGridLines="0" topLeftCell="A4" workbookViewId="0">
      <selection activeCell="J22" sqref="J22:K37"/>
    </sheetView>
  </sheetViews>
  <sheetFormatPr defaultColWidth="8.88671875" defaultRowHeight="14.4" x14ac:dyDescent="0.3"/>
  <cols>
    <col min="1" max="1" width="10.44140625" bestFit="1" customWidth="1"/>
    <col min="2" max="2" width="13.88671875" bestFit="1" customWidth="1"/>
    <col min="3" max="3" width="16.33203125" style="3" bestFit="1" customWidth="1"/>
    <col min="4" max="4" width="12.21875" customWidth="1"/>
    <col min="5" max="5" width="14" bestFit="1" customWidth="1"/>
  </cols>
  <sheetData>
    <row r="1" spans="1:7" x14ac:dyDescent="0.3">
      <c r="A1" s="35" t="s">
        <v>16</v>
      </c>
      <c r="B1" s="35" t="s">
        <v>13</v>
      </c>
      <c r="C1" s="36" t="s">
        <v>14</v>
      </c>
      <c r="D1" s="35" t="s">
        <v>15</v>
      </c>
      <c r="E1" s="7" t="s">
        <v>17</v>
      </c>
    </row>
    <row r="2" spans="1:7" x14ac:dyDescent="0.3">
      <c r="A2" s="37">
        <v>45688</v>
      </c>
      <c r="B2" s="38">
        <v>6636857960</v>
      </c>
      <c r="C2" s="39">
        <v>62830.720000000001</v>
      </c>
      <c r="D2" s="40">
        <v>0.53769999999999996</v>
      </c>
      <c r="E2" s="8" t="str">
        <f>TEXT(B2,"000\.000\.000-00")</f>
        <v>066.368.579-60</v>
      </c>
    </row>
    <row r="3" spans="1:7" x14ac:dyDescent="0.3">
      <c r="A3" s="37">
        <v>45688</v>
      </c>
      <c r="B3" s="38">
        <v>36022818842</v>
      </c>
      <c r="C3" s="39">
        <v>29252.87</v>
      </c>
      <c r="D3" s="40">
        <v>0.25030000000000002</v>
      </c>
      <c r="E3" s="8" t="str">
        <f t="shared" ref="E3:E22" si="0">TEXT(B3,"000\.000\.000-00")</f>
        <v>360.228.188-42</v>
      </c>
    </row>
    <row r="4" spans="1:7" x14ac:dyDescent="0.3">
      <c r="A4" s="37">
        <v>45688</v>
      </c>
      <c r="B4" s="38">
        <v>89299655049</v>
      </c>
      <c r="C4" s="39">
        <v>14760.75</v>
      </c>
      <c r="D4" s="40">
        <v>0.1263</v>
      </c>
      <c r="E4" s="8" t="str">
        <f t="shared" si="0"/>
        <v>892.996.550-49</v>
      </c>
    </row>
    <row r="5" spans="1:7" x14ac:dyDescent="0.3">
      <c r="A5" s="37">
        <v>45688</v>
      </c>
      <c r="B5" s="38">
        <v>25243679836</v>
      </c>
      <c r="C5" s="39">
        <v>6053.86</v>
      </c>
      <c r="D5" s="40">
        <v>5.1799999999999999E-2</v>
      </c>
      <c r="E5" s="8" t="str">
        <f t="shared" si="0"/>
        <v>252.436.798-36</v>
      </c>
    </row>
    <row r="6" spans="1:7" x14ac:dyDescent="0.3">
      <c r="A6" s="37">
        <v>45688</v>
      </c>
      <c r="B6" s="38">
        <v>9857890938</v>
      </c>
      <c r="C6" s="39">
        <v>989.15</v>
      </c>
      <c r="D6" s="40">
        <v>8.5000000000000006E-3</v>
      </c>
      <c r="E6" s="8" t="str">
        <f t="shared" si="0"/>
        <v>098.578.909-38</v>
      </c>
    </row>
    <row r="7" spans="1:7" x14ac:dyDescent="0.3">
      <c r="A7" s="37">
        <v>45688</v>
      </c>
      <c r="B7" s="38">
        <v>4462471970</v>
      </c>
      <c r="C7" s="39">
        <v>982.36</v>
      </c>
      <c r="D7" s="40">
        <v>8.3999999999999995E-3</v>
      </c>
      <c r="E7" s="8" t="str">
        <f t="shared" si="0"/>
        <v>044.624.719-70</v>
      </c>
    </row>
    <row r="8" spans="1:7" x14ac:dyDescent="0.3">
      <c r="A8" s="37">
        <v>45688</v>
      </c>
      <c r="B8" s="38">
        <v>87256673949</v>
      </c>
      <c r="C8" s="39">
        <v>959.54</v>
      </c>
      <c r="D8" s="40">
        <v>8.2000000000000007E-3</v>
      </c>
      <c r="E8" s="8" t="str">
        <f t="shared" si="0"/>
        <v>872.566.739-49</v>
      </c>
    </row>
    <row r="9" spans="1:7" x14ac:dyDescent="0.3">
      <c r="A9" s="37">
        <v>45688</v>
      </c>
      <c r="B9" s="38">
        <v>14554897940</v>
      </c>
      <c r="C9" s="39">
        <v>523.04999999999995</v>
      </c>
      <c r="D9" s="40">
        <v>4.4999999999999997E-3</v>
      </c>
      <c r="E9" s="8" t="str">
        <f t="shared" si="0"/>
        <v>145.548.979-40</v>
      </c>
    </row>
    <row r="10" spans="1:7" x14ac:dyDescent="0.3">
      <c r="A10" s="52">
        <v>45688</v>
      </c>
      <c r="B10" s="53">
        <v>9136033928</v>
      </c>
      <c r="C10" s="54">
        <v>509.43</v>
      </c>
      <c r="D10" s="55">
        <v>4.4000000000000003E-3</v>
      </c>
      <c r="E10" s="56" t="str">
        <f t="shared" si="0"/>
        <v>091.360.339-28</v>
      </c>
    </row>
    <row r="11" spans="1:7" x14ac:dyDescent="0.3">
      <c r="A11" s="37">
        <v>45714</v>
      </c>
      <c r="B11" s="38">
        <v>6636857960</v>
      </c>
      <c r="C11" s="39">
        <v>62813.599999999999</v>
      </c>
      <c r="D11" s="40">
        <v>0.48449999999999999</v>
      </c>
      <c r="E11" s="8" t="str">
        <f t="shared" si="0"/>
        <v>066.368.579-60</v>
      </c>
      <c r="F11" s="3"/>
      <c r="G11" s="1"/>
    </row>
    <row r="12" spans="1:7" x14ac:dyDescent="0.3">
      <c r="A12" s="37">
        <v>45714</v>
      </c>
      <c r="B12" s="38">
        <v>36022818842</v>
      </c>
      <c r="C12" s="39">
        <v>39222.769999999997</v>
      </c>
      <c r="D12" s="40">
        <v>0.30249999999999999</v>
      </c>
      <c r="E12" s="8" t="str">
        <f t="shared" si="0"/>
        <v>360.228.188-42</v>
      </c>
    </row>
    <row r="13" spans="1:7" x14ac:dyDescent="0.3">
      <c r="A13" s="37">
        <v>45714</v>
      </c>
      <c r="B13" s="38">
        <v>89299655049</v>
      </c>
      <c r="C13" s="39">
        <v>14756.73</v>
      </c>
      <c r="D13" s="40">
        <v>0.1138</v>
      </c>
      <c r="E13" s="8" t="str">
        <f t="shared" si="0"/>
        <v>892.996.550-49</v>
      </c>
    </row>
    <row r="14" spans="1:7" x14ac:dyDescent="0.3">
      <c r="A14" s="37">
        <v>45714</v>
      </c>
      <c r="B14" s="38">
        <v>25243679836</v>
      </c>
      <c r="C14" s="39">
        <v>6052.21</v>
      </c>
      <c r="D14" s="40">
        <v>4.6699999999999998E-2</v>
      </c>
      <c r="E14" s="8" t="str">
        <f t="shared" si="0"/>
        <v>252.436.798-36</v>
      </c>
    </row>
    <row r="15" spans="1:7" x14ac:dyDescent="0.3">
      <c r="A15" s="37">
        <v>45714</v>
      </c>
      <c r="B15" s="38">
        <v>8126566957</v>
      </c>
      <c r="C15" s="39">
        <v>1003.22</v>
      </c>
      <c r="D15" s="40">
        <v>7.7000000000000002E-3</v>
      </c>
      <c r="E15" s="8" t="str">
        <f t="shared" si="0"/>
        <v>081.265.669-57</v>
      </c>
    </row>
    <row r="16" spans="1:7" x14ac:dyDescent="0.3">
      <c r="A16" s="37">
        <v>45714</v>
      </c>
      <c r="B16" s="38">
        <v>12255597900</v>
      </c>
      <c r="C16" s="39">
        <v>997.79</v>
      </c>
      <c r="D16" s="40">
        <v>7.7000000000000002E-3</v>
      </c>
      <c r="E16" s="8" t="str">
        <f t="shared" si="0"/>
        <v>122.555.979-00</v>
      </c>
    </row>
    <row r="17" spans="1:10" x14ac:dyDescent="0.3">
      <c r="A17" s="37">
        <v>45714</v>
      </c>
      <c r="B17" s="38">
        <v>9857890938</v>
      </c>
      <c r="C17" s="39">
        <v>988.88</v>
      </c>
      <c r="D17" s="40">
        <v>7.6E-3</v>
      </c>
      <c r="E17" s="8" t="str">
        <f t="shared" si="0"/>
        <v>098.578.909-38</v>
      </c>
    </row>
    <row r="18" spans="1:10" x14ac:dyDescent="0.3">
      <c r="A18" s="37">
        <v>45714</v>
      </c>
      <c r="B18" s="38">
        <v>4462471970</v>
      </c>
      <c r="C18" s="39">
        <v>982.09</v>
      </c>
      <c r="D18" s="40">
        <v>7.6E-3</v>
      </c>
      <c r="E18" s="8" t="str">
        <f t="shared" si="0"/>
        <v>044.624.719-70</v>
      </c>
    </row>
    <row r="19" spans="1:10" x14ac:dyDescent="0.3">
      <c r="A19" s="37">
        <v>45714</v>
      </c>
      <c r="B19" s="38">
        <v>87256673949</v>
      </c>
      <c r="C19" s="39">
        <v>959.28</v>
      </c>
      <c r="D19" s="40">
        <v>7.4000000000000003E-3</v>
      </c>
      <c r="E19" s="8" t="str">
        <f>TEXT(B19,"000\.000\.000-00")</f>
        <v>872.566.739-49</v>
      </c>
    </row>
    <row r="20" spans="1:10" x14ac:dyDescent="0.3">
      <c r="A20" s="37">
        <v>45714</v>
      </c>
      <c r="B20" s="38">
        <v>14554897940</v>
      </c>
      <c r="C20" s="39">
        <v>875.18</v>
      </c>
      <c r="D20" s="40">
        <v>6.7999999999999996E-3</v>
      </c>
      <c r="E20" s="8" t="str">
        <f t="shared" si="0"/>
        <v>145.548.979-40</v>
      </c>
    </row>
    <row r="21" spans="1:10" x14ac:dyDescent="0.3">
      <c r="A21" s="37">
        <v>45714</v>
      </c>
      <c r="B21" s="38">
        <v>9136033928</v>
      </c>
      <c r="C21" s="39">
        <v>509.29</v>
      </c>
      <c r="D21" s="40">
        <v>3.8999999999999998E-3</v>
      </c>
      <c r="E21" s="8" t="str">
        <f t="shared" si="0"/>
        <v>091.360.339-28</v>
      </c>
    </row>
    <row r="22" spans="1:10" x14ac:dyDescent="0.3">
      <c r="A22" s="52">
        <v>45714</v>
      </c>
      <c r="B22" s="53">
        <v>11076050913</v>
      </c>
      <c r="C22" s="54">
        <v>494.65</v>
      </c>
      <c r="D22" s="55">
        <v>3.8E-3</v>
      </c>
      <c r="E22" s="56" t="str">
        <f t="shared" si="0"/>
        <v>110.760.509-13</v>
      </c>
    </row>
    <row r="23" spans="1:10" x14ac:dyDescent="0.3">
      <c r="A23" s="37">
        <v>46104</v>
      </c>
      <c r="B23" s="104">
        <v>25243679836</v>
      </c>
      <c r="C23" s="39">
        <v>7992.55</v>
      </c>
      <c r="D23" s="105">
        <v>4.6699932040849351E-2</v>
      </c>
      <c r="E23" s="8" t="str">
        <f>TEXT(B23,"000\.000\.000-00")</f>
        <v>252.436.798-36</v>
      </c>
    </row>
    <row r="24" spans="1:10" x14ac:dyDescent="0.3">
      <c r="A24" s="37">
        <v>46104</v>
      </c>
      <c r="B24" s="38">
        <v>6636857960</v>
      </c>
      <c r="C24" s="39">
        <v>68076.13</v>
      </c>
      <c r="D24" s="105">
        <v>0.39779999999999999</v>
      </c>
      <c r="E24" s="8" t="str">
        <f t="shared" ref="E23:E34" si="1">TEXT(B24,"000\.000\.000-00")</f>
        <v>066.368.579-60</v>
      </c>
      <c r="J24" s="108"/>
    </row>
    <row r="25" spans="1:10" x14ac:dyDescent="0.3">
      <c r="A25" s="37">
        <v>46104</v>
      </c>
      <c r="B25" s="38">
        <v>8126566957</v>
      </c>
      <c r="C25" s="39">
        <v>1324.85</v>
      </c>
      <c r="D25" s="105">
        <v>7.7410094355767883E-3</v>
      </c>
      <c r="E25" s="8" t="str">
        <f t="shared" si="1"/>
        <v>081.265.669-57</v>
      </c>
      <c r="J25" s="108"/>
    </row>
    <row r="26" spans="1:10" x14ac:dyDescent="0.3">
      <c r="A26" s="37">
        <v>46104</v>
      </c>
      <c r="B26" s="38">
        <v>14554897940</v>
      </c>
      <c r="C26" s="39">
        <v>1155.77</v>
      </c>
      <c r="D26" s="105">
        <v>6.7999999999999996E-3</v>
      </c>
      <c r="E26" s="8" t="str">
        <f t="shared" si="1"/>
        <v>145.548.979-40</v>
      </c>
      <c r="J26" s="108"/>
    </row>
    <row r="27" spans="1:10" x14ac:dyDescent="0.3">
      <c r="A27" s="37">
        <v>46104</v>
      </c>
      <c r="B27" s="38">
        <v>43400007870</v>
      </c>
      <c r="C27" s="39">
        <v>620.26</v>
      </c>
      <c r="D27" s="105">
        <v>3.6241374589658141E-3</v>
      </c>
      <c r="E27" s="8" t="str">
        <f t="shared" si="1"/>
        <v>434.000.078-70</v>
      </c>
      <c r="J27" s="108"/>
    </row>
    <row r="28" spans="1:10" x14ac:dyDescent="0.3">
      <c r="A28" s="37">
        <v>46104</v>
      </c>
      <c r="B28" s="38">
        <v>9857890938</v>
      </c>
      <c r="C28" s="39">
        <v>1305.92</v>
      </c>
      <c r="D28" s="105">
        <v>7.630402718880205E-3</v>
      </c>
      <c r="E28" s="8" t="str">
        <f t="shared" si="1"/>
        <v>098.578.909-38</v>
      </c>
      <c r="J28" s="108"/>
    </row>
    <row r="29" spans="1:10" x14ac:dyDescent="0.3">
      <c r="A29" s="37">
        <v>46104</v>
      </c>
      <c r="B29" s="38">
        <v>9136033928</v>
      </c>
      <c r="C29" s="39">
        <v>672.57</v>
      </c>
      <c r="D29" s="105">
        <v>3.9297812703973124E-3</v>
      </c>
      <c r="E29" s="8" t="str">
        <f t="shared" si="1"/>
        <v>091.360.339-28</v>
      </c>
      <c r="J29" s="108"/>
    </row>
    <row r="30" spans="1:10" x14ac:dyDescent="0.3">
      <c r="A30" s="37">
        <v>46104</v>
      </c>
      <c r="B30" s="38">
        <v>12255597900</v>
      </c>
      <c r="C30" s="39">
        <v>1317.68</v>
      </c>
      <c r="D30" s="105">
        <v>7.6991156078581131E-3</v>
      </c>
      <c r="E30" s="8" t="str">
        <f t="shared" si="1"/>
        <v>122.555.979-00</v>
      </c>
      <c r="J30" s="108"/>
    </row>
    <row r="31" spans="1:10" x14ac:dyDescent="0.3">
      <c r="A31" s="37">
        <v>46104</v>
      </c>
      <c r="B31" s="38">
        <v>89299655049</v>
      </c>
      <c r="C31" s="39">
        <v>19487.75</v>
      </c>
      <c r="D31" s="105">
        <v>0.1138656124302084</v>
      </c>
      <c r="E31" s="8" t="str">
        <f t="shared" si="1"/>
        <v>892.996.550-49</v>
      </c>
      <c r="J31" s="108"/>
    </row>
    <row r="32" spans="1:10" x14ac:dyDescent="0.3">
      <c r="A32" s="37">
        <v>46104</v>
      </c>
      <c r="B32" s="38">
        <v>11076050913</v>
      </c>
      <c r="C32" s="39">
        <v>653.24</v>
      </c>
      <c r="D32" s="105">
        <v>3.8168373806062431E-3</v>
      </c>
      <c r="E32" s="8" t="str">
        <f t="shared" si="1"/>
        <v>110.760.509-13</v>
      </c>
      <c r="J32" s="108"/>
    </row>
    <row r="33" spans="1:10" x14ac:dyDescent="0.3">
      <c r="A33" s="37">
        <v>46104</v>
      </c>
      <c r="B33" s="38">
        <v>36022818842</v>
      </c>
      <c r="C33" s="39">
        <v>65994.149999999994</v>
      </c>
      <c r="D33" s="105">
        <v>0.3856</v>
      </c>
      <c r="E33" s="8" t="str">
        <f t="shared" si="1"/>
        <v>360.228.188-42</v>
      </c>
      <c r="J33" s="108"/>
    </row>
    <row r="34" spans="1:10" x14ac:dyDescent="0.3">
      <c r="A34" s="37">
        <v>46104</v>
      </c>
      <c r="B34" s="53">
        <v>87256673949</v>
      </c>
      <c r="C34" s="54">
        <v>2546.06</v>
      </c>
      <c r="D34" s="106">
        <v>1.49E-2</v>
      </c>
      <c r="E34" s="56" t="str">
        <f t="shared" si="1"/>
        <v>872.566.739-49</v>
      </c>
      <c r="J34" s="108"/>
    </row>
    <row r="35" spans="1:10" x14ac:dyDescent="0.3">
      <c r="J35" s="108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0ABD1-BB82-4A1F-8668-AC6A66B1B36F}">
  <dimension ref="A1:C13"/>
  <sheetViews>
    <sheetView showGridLines="0" workbookViewId="0"/>
  </sheetViews>
  <sheetFormatPr defaultRowHeight="14.4" x14ac:dyDescent="0.3"/>
  <cols>
    <col min="1" max="1" width="26.88671875" bestFit="1" customWidth="1"/>
    <col min="2" max="2" width="34.5546875" bestFit="1" customWidth="1"/>
    <col min="3" max="3" width="12" bestFit="1" customWidth="1"/>
    <col min="7" max="7" width="12" bestFit="1" customWidth="1"/>
  </cols>
  <sheetData>
    <row r="1" spans="1:3" x14ac:dyDescent="0.3">
      <c r="A1" s="109" t="s">
        <v>91</v>
      </c>
      <c r="B1" s="109" t="s">
        <v>90</v>
      </c>
      <c r="C1" s="109" t="s">
        <v>13</v>
      </c>
    </row>
    <row r="2" spans="1:3" x14ac:dyDescent="0.3">
      <c r="A2" s="107" t="s">
        <v>92</v>
      </c>
      <c r="B2" s="110">
        <v>176770</v>
      </c>
      <c r="C2" s="107">
        <v>25243679836</v>
      </c>
    </row>
    <row r="3" spans="1:3" x14ac:dyDescent="0.3">
      <c r="A3" s="107" t="s">
        <v>93</v>
      </c>
      <c r="B3" s="110">
        <v>176780</v>
      </c>
      <c r="C3" s="107">
        <v>6636857960</v>
      </c>
    </row>
    <row r="4" spans="1:3" x14ac:dyDescent="0.3">
      <c r="A4" s="107" t="s">
        <v>94</v>
      </c>
      <c r="B4" s="110">
        <v>156844</v>
      </c>
      <c r="C4" s="107">
        <v>8126566957</v>
      </c>
    </row>
    <row r="5" spans="1:3" x14ac:dyDescent="0.3">
      <c r="A5" s="107" t="s">
        <v>95</v>
      </c>
      <c r="B5" s="110">
        <v>176776</v>
      </c>
      <c r="C5" s="107">
        <v>14554897940</v>
      </c>
    </row>
    <row r="6" spans="1:3" x14ac:dyDescent="0.3">
      <c r="A6" s="107" t="s">
        <v>96</v>
      </c>
      <c r="B6" s="110">
        <v>176966</v>
      </c>
      <c r="C6" s="107">
        <v>43400007870</v>
      </c>
    </row>
    <row r="7" spans="1:3" x14ac:dyDescent="0.3">
      <c r="A7" s="107" t="s">
        <v>97</v>
      </c>
      <c r="B7" s="110">
        <v>176781</v>
      </c>
      <c r="C7" s="107">
        <v>9857890938</v>
      </c>
    </row>
    <row r="8" spans="1:3" x14ac:dyDescent="0.3">
      <c r="A8" s="107" t="s">
        <v>98</v>
      </c>
      <c r="B8" s="110">
        <v>176765</v>
      </c>
      <c r="C8" s="107">
        <v>9136033928</v>
      </c>
    </row>
    <row r="9" spans="1:3" x14ac:dyDescent="0.3">
      <c r="A9" s="107" t="s">
        <v>99</v>
      </c>
      <c r="B9" s="110">
        <v>176794</v>
      </c>
      <c r="C9" s="107">
        <v>12255597900</v>
      </c>
    </row>
    <row r="10" spans="1:3" x14ac:dyDescent="0.3">
      <c r="A10" s="107" t="s">
        <v>100</v>
      </c>
      <c r="B10" s="110">
        <v>176787</v>
      </c>
      <c r="C10" s="107">
        <v>89299655049</v>
      </c>
    </row>
    <row r="11" spans="1:3" x14ac:dyDescent="0.3">
      <c r="A11" s="107" t="s">
        <v>101</v>
      </c>
      <c r="B11" s="110">
        <v>176786</v>
      </c>
      <c r="C11" s="107">
        <v>11076050913</v>
      </c>
    </row>
    <row r="12" spans="1:3" x14ac:dyDescent="0.3">
      <c r="A12" s="107" t="s">
        <v>102</v>
      </c>
      <c r="B12" s="110">
        <v>176762</v>
      </c>
      <c r="C12" s="107">
        <v>36022818842</v>
      </c>
    </row>
    <row r="13" spans="1:3" x14ac:dyDescent="0.3">
      <c r="A13" s="107" t="s">
        <v>103</v>
      </c>
      <c r="B13" s="110">
        <v>176769</v>
      </c>
      <c r="C13" s="107">
        <v>87256673949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ED7A-067E-430E-AA1E-91607D7381E6}">
  <dimension ref="A1:P194"/>
  <sheetViews>
    <sheetView showGridLines="0" tabSelected="1" topLeftCell="A161" workbookViewId="0">
      <selection activeCell="D194" sqref="D194"/>
    </sheetView>
  </sheetViews>
  <sheetFormatPr defaultColWidth="8.88671875" defaultRowHeight="14.4" x14ac:dyDescent="0.3"/>
  <cols>
    <col min="1" max="1" width="10.44140625" bestFit="1" customWidth="1"/>
    <col min="2" max="2" width="7.44140625" bestFit="1" customWidth="1"/>
    <col min="3" max="3" width="9.109375" style="3"/>
    <col min="4" max="4" width="9.109375" style="1"/>
    <col min="5" max="5" width="29.88671875" bestFit="1" customWidth="1"/>
    <col min="6" max="6" width="29.88671875" customWidth="1"/>
    <col min="7" max="7" width="10" style="3" bestFit="1" customWidth="1"/>
    <col min="8" max="8" width="10.109375" style="1" bestFit="1" customWidth="1"/>
    <col min="9" max="9" width="10.109375" bestFit="1" customWidth="1"/>
    <col min="10" max="10" width="12" bestFit="1" customWidth="1"/>
    <col min="14" max="14" width="9.109375" bestFit="1" customWidth="1"/>
  </cols>
  <sheetData>
    <row r="1" spans="1:16" x14ac:dyDescent="0.3">
      <c r="A1" s="85" t="s">
        <v>16</v>
      </c>
      <c r="B1" s="85" t="s">
        <v>18</v>
      </c>
      <c r="C1" s="86" t="s">
        <v>19</v>
      </c>
      <c r="D1" s="87" t="s">
        <v>61</v>
      </c>
      <c r="E1" s="85" t="s">
        <v>21</v>
      </c>
      <c r="F1" s="85" t="s">
        <v>62</v>
      </c>
      <c r="G1" s="86" t="s">
        <v>20</v>
      </c>
      <c r="H1" t="s">
        <v>72</v>
      </c>
      <c r="J1" t="s">
        <v>16</v>
      </c>
      <c r="K1" t="s">
        <v>18</v>
      </c>
      <c r="L1" t="s">
        <v>19</v>
      </c>
      <c r="M1" t="s">
        <v>61</v>
      </c>
      <c r="N1" t="s">
        <v>21</v>
      </c>
      <c r="O1" t="s">
        <v>62</v>
      </c>
      <c r="P1" t="s">
        <v>20</v>
      </c>
    </row>
    <row r="2" spans="1:16" x14ac:dyDescent="0.3">
      <c r="A2" s="9">
        <v>45688</v>
      </c>
      <c r="B2" s="10" t="s">
        <v>22</v>
      </c>
      <c r="C2" s="11">
        <v>15980.99</v>
      </c>
      <c r="D2" s="41">
        <f>C2/G2</f>
        <v>0.13675123496343031</v>
      </c>
      <c r="E2" s="10" t="str">
        <f>_xlfn.XLOOKUP(B2,Cadastro_Acoes!A:A,Cadastro_Acoes!C:C)</f>
        <v>Títulos Públicos</v>
      </c>
      <c r="F2" s="10" t="s">
        <v>23</v>
      </c>
      <c r="G2" s="11">
        <v>116861.75999999999</v>
      </c>
      <c r="H2"/>
      <c r="J2" s="47">
        <v>45761</v>
      </c>
      <c r="K2" t="s">
        <v>24</v>
      </c>
      <c r="L2" s="3">
        <v>14287.63</v>
      </c>
      <c r="M2">
        <v>0.12043989010418386</v>
      </c>
      <c r="N2" t="s">
        <v>38</v>
      </c>
      <c r="O2" t="s">
        <v>63</v>
      </c>
      <c r="P2">
        <v>118628.72</v>
      </c>
    </row>
    <row r="3" spans="1:16" x14ac:dyDescent="0.3">
      <c r="A3" s="9">
        <v>45688</v>
      </c>
      <c r="B3" s="10" t="s">
        <v>24</v>
      </c>
      <c r="C3" s="11">
        <v>13978.4</v>
      </c>
      <c r="D3" s="41">
        <f t="shared" ref="D3:D23" si="0">C3/G3</f>
        <v>0.11961483380020975</v>
      </c>
      <c r="E3" s="10" t="str">
        <f>_xlfn.XLOOKUP(B3,Cadastro_Acoes!A:A,Cadastro_Acoes!C:C)</f>
        <v>Intermediários Financeiros</v>
      </c>
      <c r="F3" s="10" t="s">
        <v>63</v>
      </c>
      <c r="G3" s="11">
        <v>116861.75999999999</v>
      </c>
      <c r="H3"/>
      <c r="J3" s="47">
        <v>45761</v>
      </c>
      <c r="K3" t="s">
        <v>25</v>
      </c>
      <c r="L3" s="3">
        <v>7171.62</v>
      </c>
      <c r="M3">
        <v>6.0454331800933195E-2</v>
      </c>
      <c r="N3" t="s">
        <v>41</v>
      </c>
      <c r="O3" t="s">
        <v>63</v>
      </c>
      <c r="P3">
        <v>118628.72</v>
      </c>
    </row>
    <row r="4" spans="1:16" x14ac:dyDescent="0.3">
      <c r="A4" s="9">
        <v>45688</v>
      </c>
      <c r="B4" s="10" t="s">
        <v>25</v>
      </c>
      <c r="C4" s="11">
        <v>6397.64</v>
      </c>
      <c r="D4" s="41">
        <f t="shared" si="0"/>
        <v>5.4745367517997336E-2</v>
      </c>
      <c r="E4" s="10" t="str">
        <f>_xlfn.XLOOKUP(B4,Cadastro_Acoes!A:A,Cadastro_Acoes!C:C)</f>
        <v>Previdência e Seguros</v>
      </c>
      <c r="F4" s="10" t="s">
        <v>63</v>
      </c>
      <c r="G4" s="11">
        <v>116861.75999999999</v>
      </c>
      <c r="H4"/>
      <c r="J4" s="47">
        <v>45761</v>
      </c>
      <c r="K4" t="s">
        <v>26</v>
      </c>
      <c r="L4" s="3">
        <v>14714.64</v>
      </c>
      <c r="M4">
        <v>0.12403944002767626</v>
      </c>
      <c r="N4" t="s">
        <v>38</v>
      </c>
      <c r="O4" t="s">
        <v>63</v>
      </c>
      <c r="P4">
        <v>118628.72</v>
      </c>
    </row>
    <row r="5" spans="1:16" x14ac:dyDescent="0.3">
      <c r="A5" s="9">
        <v>45688</v>
      </c>
      <c r="B5" s="10" t="s">
        <v>26</v>
      </c>
      <c r="C5" s="11">
        <v>12376.6</v>
      </c>
      <c r="D5" s="41">
        <f t="shared" si="0"/>
        <v>0.10590804040603188</v>
      </c>
      <c r="E5" s="10" t="str">
        <f>_xlfn.XLOOKUP(B5,Cadastro_Acoes!A:A,Cadastro_Acoes!C:C)</f>
        <v>Intermediários Financeiros</v>
      </c>
      <c r="F5" s="10" t="s">
        <v>63</v>
      </c>
      <c r="G5" s="11">
        <v>116861.75999999999</v>
      </c>
      <c r="H5"/>
      <c r="J5" s="47">
        <v>45761</v>
      </c>
      <c r="K5" t="s">
        <v>27</v>
      </c>
      <c r="L5" s="3">
        <v>11445.12</v>
      </c>
      <c r="M5">
        <v>9.6478491886281839E-2</v>
      </c>
      <c r="N5" t="s">
        <v>45</v>
      </c>
      <c r="O5" t="s">
        <v>63</v>
      </c>
      <c r="P5">
        <v>118628.72</v>
      </c>
    </row>
    <row r="6" spans="1:16" x14ac:dyDescent="0.3">
      <c r="A6" s="9">
        <v>45688</v>
      </c>
      <c r="B6" s="10" t="s">
        <v>27</v>
      </c>
      <c r="C6" s="11">
        <v>9200</v>
      </c>
      <c r="D6" s="41">
        <f t="shared" si="0"/>
        <v>7.8725495833709844E-2</v>
      </c>
      <c r="E6" s="10" t="str">
        <f>_xlfn.XLOOKUP(B6,Cadastro_Acoes!A:A,Cadastro_Acoes!C:C)</f>
        <v>Energia Elétrica</v>
      </c>
      <c r="F6" s="10" t="s">
        <v>63</v>
      </c>
      <c r="G6" s="11">
        <v>116861.75999999999</v>
      </c>
      <c r="H6"/>
      <c r="J6" s="47">
        <v>45761</v>
      </c>
      <c r="K6" t="s">
        <v>28</v>
      </c>
      <c r="L6" s="3">
        <v>15627.08</v>
      </c>
      <c r="M6">
        <v>0.13173100072225344</v>
      </c>
      <c r="N6" t="s">
        <v>45</v>
      </c>
      <c r="O6" t="s">
        <v>63</v>
      </c>
      <c r="P6">
        <v>118628.72</v>
      </c>
    </row>
    <row r="7" spans="1:16" x14ac:dyDescent="0.3">
      <c r="A7" s="9">
        <v>45688</v>
      </c>
      <c r="B7" s="10" t="s">
        <v>28</v>
      </c>
      <c r="C7" s="11">
        <v>11830.6</v>
      </c>
      <c r="D7" s="41">
        <f t="shared" si="0"/>
        <v>0.10123585337068346</v>
      </c>
      <c r="E7" s="10" t="str">
        <f>_xlfn.XLOOKUP(B7,Cadastro_Acoes!A:A,Cadastro_Acoes!C:C)</f>
        <v>Energia Elétrica</v>
      </c>
      <c r="F7" s="10" t="s">
        <v>63</v>
      </c>
      <c r="G7" s="11">
        <v>116861.75999999999</v>
      </c>
      <c r="H7"/>
      <c r="J7" s="47">
        <v>45761</v>
      </c>
      <c r="K7" t="s">
        <v>29</v>
      </c>
      <c r="L7" s="3">
        <v>6734.55</v>
      </c>
      <c r="M7">
        <v>5.6769979478831098E-2</v>
      </c>
      <c r="N7" t="s">
        <v>48</v>
      </c>
      <c r="O7" t="s">
        <v>63</v>
      </c>
      <c r="P7">
        <v>118628.72</v>
      </c>
    </row>
    <row r="8" spans="1:16" x14ac:dyDescent="0.3">
      <c r="A8" s="9">
        <v>45688</v>
      </c>
      <c r="B8" s="10" t="s">
        <v>29</v>
      </c>
      <c r="C8" s="11">
        <v>8671.2999999999993</v>
      </c>
      <c r="D8" s="41">
        <f t="shared" si="0"/>
        <v>7.4201346959005238E-2</v>
      </c>
      <c r="E8" s="10" t="str">
        <f>_xlfn.XLOOKUP(B8,Cadastro_Acoes!A:A,Cadastro_Acoes!C:C)</f>
        <v>Fundos de índice</v>
      </c>
      <c r="F8" s="10" t="s">
        <v>63</v>
      </c>
      <c r="G8" s="11">
        <v>116861.75999999999</v>
      </c>
      <c r="H8"/>
      <c r="J8" s="47">
        <v>45761</v>
      </c>
      <c r="K8" t="s">
        <v>30</v>
      </c>
      <c r="L8" s="3">
        <v>14272.04</v>
      </c>
      <c r="M8">
        <v>0.12030847167532449</v>
      </c>
      <c r="N8" t="s">
        <v>51</v>
      </c>
      <c r="O8" t="s">
        <v>63</v>
      </c>
      <c r="P8">
        <v>118628.72</v>
      </c>
    </row>
    <row r="9" spans="1:16" x14ac:dyDescent="0.3">
      <c r="A9" s="9">
        <v>45688</v>
      </c>
      <c r="B9" s="10" t="s">
        <v>30</v>
      </c>
      <c r="C9" s="11">
        <v>11190.27</v>
      </c>
      <c r="D9" s="41">
        <f t="shared" si="0"/>
        <v>9.5756473289466126E-2</v>
      </c>
      <c r="E9" s="10" t="str">
        <f>_xlfn.XLOOKUP(B9,Cadastro_Acoes!A:A,Cadastro_Acoes!C:C)</f>
        <v>Petróleo, Gás e Biocombustíveis</v>
      </c>
      <c r="F9" s="10" t="s">
        <v>63</v>
      </c>
      <c r="G9" s="11">
        <v>116861.75999999999</v>
      </c>
      <c r="H9"/>
      <c r="J9" s="47">
        <v>45761</v>
      </c>
      <c r="K9" t="s">
        <v>31</v>
      </c>
      <c r="L9" s="3">
        <v>6237.81</v>
      </c>
      <c r="M9">
        <v>5.2582629231774571E-2</v>
      </c>
      <c r="N9" t="s">
        <v>48</v>
      </c>
      <c r="O9" t="s">
        <v>63</v>
      </c>
      <c r="P9">
        <v>118628.72</v>
      </c>
    </row>
    <row r="10" spans="1:16" x14ac:dyDescent="0.3">
      <c r="A10" s="9">
        <v>45688</v>
      </c>
      <c r="B10" s="10" t="s">
        <v>31</v>
      </c>
      <c r="C10" s="11">
        <v>11347</v>
      </c>
      <c r="D10" s="41">
        <f t="shared" si="0"/>
        <v>9.7097630567946264E-2</v>
      </c>
      <c r="E10" s="10" t="str">
        <f>_xlfn.XLOOKUP(B10,Cadastro_Acoes!A:A,Cadastro_Acoes!C:C)</f>
        <v>Fundos de índice</v>
      </c>
      <c r="F10" s="10" t="s">
        <v>63</v>
      </c>
      <c r="G10" s="11">
        <v>116861.75999999999</v>
      </c>
      <c r="H10"/>
      <c r="J10" s="47">
        <v>45761</v>
      </c>
      <c r="K10" t="s">
        <v>32</v>
      </c>
      <c r="L10" s="3">
        <v>13861.8</v>
      </c>
      <c r="M10">
        <v>0.11685028718172125</v>
      </c>
      <c r="N10" t="s">
        <v>56</v>
      </c>
      <c r="O10" t="s">
        <v>63</v>
      </c>
      <c r="P10">
        <v>118628.72</v>
      </c>
    </row>
    <row r="11" spans="1:16" x14ac:dyDescent="0.3">
      <c r="A11" s="9">
        <v>45688</v>
      </c>
      <c r="B11" s="10" t="s">
        <v>32</v>
      </c>
      <c r="C11" s="11">
        <v>12079.91</v>
      </c>
      <c r="D11" s="41">
        <f t="shared" si="0"/>
        <v>0.10336922873658587</v>
      </c>
      <c r="E11" s="10" t="str">
        <f>_xlfn.XLOOKUP(B11,Cadastro_Acoes!A:A,Cadastro_Acoes!C:C)</f>
        <v>Mineração</v>
      </c>
      <c r="F11" s="10" t="s">
        <v>63</v>
      </c>
      <c r="G11" s="11">
        <v>116861.75999999999</v>
      </c>
      <c r="H11"/>
      <c r="J11" s="47">
        <v>45761</v>
      </c>
      <c r="K11" t="s">
        <v>33</v>
      </c>
      <c r="L11" s="3">
        <v>13668.29</v>
      </c>
      <c r="M11">
        <v>0.11521906330945829</v>
      </c>
      <c r="N11" t="s">
        <v>59</v>
      </c>
      <c r="O11" t="s">
        <v>59</v>
      </c>
      <c r="P11">
        <v>118628.72</v>
      </c>
    </row>
    <row r="12" spans="1:16" x14ac:dyDescent="0.3">
      <c r="A12" s="12">
        <v>45688</v>
      </c>
      <c r="B12" s="13" t="s">
        <v>33</v>
      </c>
      <c r="C12" s="14">
        <v>2784.12</v>
      </c>
      <c r="D12" s="42">
        <f t="shared" si="0"/>
        <v>2.3824046463103071E-2</v>
      </c>
      <c r="E12" s="13" t="str">
        <f>_xlfn.XLOOKUP(B12,Cadastro_Acoes!A:A,Cadastro_Acoes!C:C)</f>
        <v>Caixa</v>
      </c>
      <c r="F12" s="13" t="s">
        <v>59</v>
      </c>
      <c r="G12" s="14">
        <v>116861.75999999999</v>
      </c>
      <c r="H12"/>
      <c r="J12" s="47"/>
      <c r="L12" s="1"/>
    </row>
    <row r="13" spans="1:16" x14ac:dyDescent="0.3">
      <c r="A13" s="9">
        <v>45716</v>
      </c>
      <c r="B13" s="10" t="s">
        <v>22</v>
      </c>
      <c r="C13" s="11">
        <v>16138.49</v>
      </c>
      <c r="D13" s="41">
        <f t="shared" si="0"/>
        <v>0.12480968415787227</v>
      </c>
      <c r="E13" s="10" t="str">
        <f>_xlfn.XLOOKUP(B13,Cadastro_Acoes!A:A,Cadastro_Acoes!C:C)</f>
        <v>Títulos Públicos</v>
      </c>
      <c r="F13" s="10" t="s">
        <v>23</v>
      </c>
      <c r="G13" s="11">
        <v>129304.79</v>
      </c>
      <c r="H13"/>
      <c r="I13" s="3"/>
      <c r="J13" s="1"/>
      <c r="L13" s="1"/>
      <c r="M13" s="1"/>
    </row>
    <row r="14" spans="1:16" x14ac:dyDescent="0.3">
      <c r="A14" s="9">
        <v>45716</v>
      </c>
      <c r="B14" s="10" t="s">
        <v>24</v>
      </c>
      <c r="C14" s="11">
        <v>13900.79</v>
      </c>
      <c r="D14" s="41">
        <f t="shared" si="0"/>
        <v>0.10750406075443919</v>
      </c>
      <c r="E14" s="10" t="str">
        <f>_xlfn.XLOOKUP(B14,Cadastro_Acoes!A:A,Cadastro_Acoes!C:C)</f>
        <v>Intermediários Financeiros</v>
      </c>
      <c r="F14" s="10" t="s">
        <v>63</v>
      </c>
      <c r="G14" s="11">
        <v>129304.79</v>
      </c>
      <c r="H14"/>
      <c r="J14" s="47"/>
      <c r="L14" s="1"/>
      <c r="M14" s="1"/>
    </row>
    <row r="15" spans="1:16" x14ac:dyDescent="0.3">
      <c r="A15" s="9">
        <v>45716</v>
      </c>
      <c r="B15" s="10" t="s">
        <v>25</v>
      </c>
      <c r="C15" s="11">
        <v>6735.52</v>
      </c>
      <c r="D15" s="41">
        <f t="shared" si="0"/>
        <v>5.2090258991952278E-2</v>
      </c>
      <c r="E15" s="10" t="str">
        <f>_xlfn.XLOOKUP(B15,Cadastro_Acoes!A:A,Cadastro_Acoes!C:C)</f>
        <v>Previdência e Seguros</v>
      </c>
      <c r="F15" s="10" t="s">
        <v>63</v>
      </c>
      <c r="G15" s="11">
        <v>129304.79</v>
      </c>
      <c r="H15"/>
      <c r="J15" s="47"/>
      <c r="L15" s="1"/>
      <c r="M15" s="1"/>
    </row>
    <row r="16" spans="1:16" x14ac:dyDescent="0.3">
      <c r="A16" s="9">
        <v>45716</v>
      </c>
      <c r="B16" s="10" t="s">
        <v>26</v>
      </c>
      <c r="C16" s="11">
        <v>13516.24</v>
      </c>
      <c r="D16" s="41">
        <f t="shared" si="0"/>
        <v>0.10453007966680894</v>
      </c>
      <c r="E16" s="10" t="str">
        <f>_xlfn.XLOOKUP(B16,Cadastro_Acoes!A:A,Cadastro_Acoes!C:C)</f>
        <v>Intermediários Financeiros</v>
      </c>
      <c r="F16" s="10" t="s">
        <v>63</v>
      </c>
      <c r="G16" s="11">
        <v>129304.79</v>
      </c>
      <c r="H16"/>
      <c r="J16" s="47"/>
      <c r="L16" s="1"/>
      <c r="M16" s="1"/>
    </row>
    <row r="17" spans="1:13" x14ac:dyDescent="0.3">
      <c r="A17" s="9">
        <v>45716</v>
      </c>
      <c r="B17" s="10" t="s">
        <v>27</v>
      </c>
      <c r="C17" s="11">
        <v>10704.96</v>
      </c>
      <c r="D17" s="41">
        <f t="shared" si="0"/>
        <v>8.2788580376643425E-2</v>
      </c>
      <c r="E17" s="10" t="str">
        <f>_xlfn.XLOOKUP(B17,Cadastro_Acoes!A:A,Cadastro_Acoes!C:C)</f>
        <v>Energia Elétrica</v>
      </c>
      <c r="F17" s="10" t="s">
        <v>63</v>
      </c>
      <c r="G17" s="11">
        <v>129304.79</v>
      </c>
      <c r="H17"/>
      <c r="J17" s="47"/>
      <c r="L17" s="1"/>
      <c r="M17" s="1"/>
    </row>
    <row r="18" spans="1:13" x14ac:dyDescent="0.3">
      <c r="A18" s="9">
        <v>45716</v>
      </c>
      <c r="B18" s="10" t="s">
        <v>28</v>
      </c>
      <c r="C18" s="11">
        <v>14395.71</v>
      </c>
      <c r="D18" s="41">
        <f t="shared" si="0"/>
        <v>0.11133160650893134</v>
      </c>
      <c r="E18" s="10" t="str">
        <f>_xlfn.XLOOKUP(B18,Cadastro_Acoes!A:A,Cadastro_Acoes!C:C)</f>
        <v>Energia Elétrica</v>
      </c>
      <c r="F18" s="10" t="s">
        <v>63</v>
      </c>
      <c r="G18" s="11">
        <v>129304.79</v>
      </c>
      <c r="H18"/>
      <c r="J18" s="47"/>
      <c r="L18" s="1"/>
      <c r="M18" s="1"/>
    </row>
    <row r="19" spans="1:13" x14ac:dyDescent="0.3">
      <c r="A19" s="9">
        <v>45716</v>
      </c>
      <c r="B19" s="10" t="s">
        <v>29</v>
      </c>
      <c r="C19" s="11">
        <v>10210.200000000001</v>
      </c>
      <c r="D19" s="41">
        <f t="shared" si="0"/>
        <v>7.8962272008639436E-2</v>
      </c>
      <c r="E19" s="10" t="str">
        <f>_xlfn.XLOOKUP(B19,Cadastro_Acoes!A:A,Cadastro_Acoes!C:C)</f>
        <v>Fundos de índice</v>
      </c>
      <c r="F19" s="10" t="s">
        <v>63</v>
      </c>
      <c r="G19" s="11">
        <v>129304.79</v>
      </c>
      <c r="H19"/>
      <c r="J19" s="47"/>
      <c r="L19" s="1"/>
      <c r="M19" s="1"/>
    </row>
    <row r="20" spans="1:13" x14ac:dyDescent="0.3">
      <c r="A20" s="9">
        <v>45716</v>
      </c>
      <c r="B20" s="10" t="s">
        <v>30</v>
      </c>
      <c r="C20" s="11">
        <v>12290.74</v>
      </c>
      <c r="D20" s="41">
        <f t="shared" si="0"/>
        <v>9.505247253408014E-2</v>
      </c>
      <c r="E20" s="10" t="str">
        <f>_xlfn.XLOOKUP(B20,Cadastro_Acoes!A:A,Cadastro_Acoes!C:C)</f>
        <v>Petróleo, Gás e Biocombustíveis</v>
      </c>
      <c r="F20" s="10" t="s">
        <v>63</v>
      </c>
      <c r="G20" s="11">
        <v>129304.79</v>
      </c>
      <c r="H20"/>
      <c r="J20" s="47"/>
      <c r="L20" s="1"/>
      <c r="M20" s="1"/>
    </row>
    <row r="21" spans="1:13" x14ac:dyDescent="0.3">
      <c r="A21" s="9">
        <v>45716</v>
      </c>
      <c r="B21" s="10" t="s">
        <v>31</v>
      </c>
      <c r="C21" s="11">
        <v>11123</v>
      </c>
      <c r="D21" s="41">
        <f t="shared" si="0"/>
        <v>8.6021561923576073E-2</v>
      </c>
      <c r="E21" s="10" t="str">
        <f>_xlfn.XLOOKUP(B21,Cadastro_Acoes!A:A,Cadastro_Acoes!C:C)</f>
        <v>Fundos de índice</v>
      </c>
      <c r="F21" s="10" t="s">
        <v>63</v>
      </c>
      <c r="G21" s="11">
        <v>129304.79</v>
      </c>
      <c r="H21"/>
      <c r="J21" s="47"/>
      <c r="L21" s="1"/>
      <c r="M21" s="1"/>
    </row>
    <row r="22" spans="1:13" x14ac:dyDescent="0.3">
      <c r="A22" s="9">
        <v>45716</v>
      </c>
      <c r="B22" s="10" t="s">
        <v>32</v>
      </c>
      <c r="C22" s="11">
        <v>14063.25</v>
      </c>
      <c r="D22" s="41">
        <f t="shared" si="0"/>
        <v>0.10876047205985177</v>
      </c>
      <c r="E22" s="10" t="str">
        <f>_xlfn.XLOOKUP(B22,Cadastro_Acoes!A:A,Cadastro_Acoes!C:C)</f>
        <v>Mineração</v>
      </c>
      <c r="F22" s="10" t="s">
        <v>63</v>
      </c>
      <c r="G22" s="11">
        <v>129304.79</v>
      </c>
      <c r="H22"/>
      <c r="J22" s="47"/>
      <c r="L22" s="1"/>
      <c r="M22" s="1"/>
    </row>
    <row r="23" spans="1:13" x14ac:dyDescent="0.3">
      <c r="A23" s="12">
        <v>45716</v>
      </c>
      <c r="B23" s="13" t="s">
        <v>33</v>
      </c>
      <c r="C23" s="14">
        <v>5106.51</v>
      </c>
      <c r="D23" s="42">
        <f t="shared" si="0"/>
        <v>3.9492040472746605E-2</v>
      </c>
      <c r="E23" s="13" t="str">
        <f>_xlfn.XLOOKUP(B23,Cadastro_Acoes!A:A,Cadastro_Acoes!C:C)</f>
        <v>Caixa</v>
      </c>
      <c r="F23" s="13" t="s">
        <v>59</v>
      </c>
      <c r="G23" s="14">
        <v>129304.79</v>
      </c>
      <c r="H23"/>
      <c r="J23" s="47"/>
      <c r="L23" s="1"/>
      <c r="M23" s="1"/>
    </row>
    <row r="24" spans="1:13" x14ac:dyDescent="0.3">
      <c r="A24" s="9">
        <v>45723</v>
      </c>
      <c r="B24" s="10" t="s">
        <v>22</v>
      </c>
      <c r="C24" s="11">
        <v>16162.2</v>
      </c>
      <c r="D24" s="41">
        <f>C24/G24</f>
        <v>0.12439457297869595</v>
      </c>
      <c r="E24" s="10" t="str">
        <f>_xlfn.XLOOKUP(B24,Cadastro_Acoes!A:A,Cadastro_Acoes!C:C)</f>
        <v>Títulos Públicos</v>
      </c>
      <c r="F24" s="10" t="s">
        <v>23</v>
      </c>
      <c r="G24" s="11">
        <v>129926.89</v>
      </c>
      <c r="H24"/>
      <c r="I24" s="3"/>
      <c r="J24" s="3"/>
    </row>
    <row r="25" spans="1:13" x14ac:dyDescent="0.3">
      <c r="A25" s="9">
        <v>45723</v>
      </c>
      <c r="B25" s="10" t="s">
        <v>24</v>
      </c>
      <c r="C25" s="11">
        <v>14282.54</v>
      </c>
      <c r="D25" s="41">
        <f t="shared" ref="D25:D34" si="1">C25/G25</f>
        <v>0.10992751385028919</v>
      </c>
      <c r="E25" s="10" t="str">
        <f>_xlfn.XLOOKUP(B25,Cadastro_Acoes!A:A,Cadastro_Acoes!C:C)</f>
        <v>Intermediários Financeiros</v>
      </c>
      <c r="F25" s="10" t="s">
        <v>63</v>
      </c>
      <c r="G25" s="11">
        <v>129926.89</v>
      </c>
      <c r="H25"/>
      <c r="I25" s="1"/>
    </row>
    <row r="26" spans="1:13" x14ac:dyDescent="0.3">
      <c r="A26" s="9">
        <v>45723</v>
      </c>
      <c r="B26" s="10" t="s">
        <v>25</v>
      </c>
      <c r="C26" s="11">
        <v>6945.56</v>
      </c>
      <c r="D26" s="41">
        <f t="shared" si="1"/>
        <v>5.3457448261864812E-2</v>
      </c>
      <c r="E26" s="10" t="str">
        <f>_xlfn.XLOOKUP(B26,Cadastro_Acoes!A:A,Cadastro_Acoes!C:C)</f>
        <v>Previdência e Seguros</v>
      </c>
      <c r="F26" s="10" t="s">
        <v>63</v>
      </c>
      <c r="G26" s="11">
        <v>129926.89</v>
      </c>
      <c r="H26"/>
      <c r="I26" s="1"/>
    </row>
    <row r="27" spans="1:13" x14ac:dyDescent="0.3">
      <c r="A27" s="9">
        <v>45723</v>
      </c>
      <c r="B27" s="10" t="s">
        <v>26</v>
      </c>
      <c r="C27" s="11">
        <v>13730.24</v>
      </c>
      <c r="D27" s="41">
        <f t="shared" si="1"/>
        <v>0.10567666169797492</v>
      </c>
      <c r="E27" s="10" t="str">
        <f>_xlfn.XLOOKUP(B27,Cadastro_Acoes!A:A,Cadastro_Acoes!C:C)</f>
        <v>Intermediários Financeiros</v>
      </c>
      <c r="F27" s="10" t="s">
        <v>63</v>
      </c>
      <c r="G27" s="11">
        <v>129926.89</v>
      </c>
      <c r="H27"/>
      <c r="I27" s="1"/>
    </row>
    <row r="28" spans="1:13" x14ac:dyDescent="0.3">
      <c r="A28" s="9">
        <v>45723</v>
      </c>
      <c r="B28" s="10" t="s">
        <v>27</v>
      </c>
      <c r="C28" s="11">
        <v>10877.76</v>
      </c>
      <c r="D28" s="41">
        <f t="shared" si="1"/>
        <v>8.3722160978377924E-2</v>
      </c>
      <c r="E28" s="10" t="str">
        <f>_xlfn.XLOOKUP(B28,Cadastro_Acoes!A:A,Cadastro_Acoes!C:C)</f>
        <v>Energia Elétrica</v>
      </c>
      <c r="F28" s="10" t="s">
        <v>63</v>
      </c>
      <c r="G28" s="11">
        <v>129926.89</v>
      </c>
      <c r="H28"/>
      <c r="I28" s="1"/>
    </row>
    <row r="29" spans="1:13" x14ac:dyDescent="0.3">
      <c r="A29" s="9">
        <v>45723</v>
      </c>
      <c r="B29" s="10" t="s">
        <v>28</v>
      </c>
      <c r="C29" s="11">
        <v>14639.24</v>
      </c>
      <c r="D29" s="41">
        <f t="shared" si="1"/>
        <v>0.1126729039693015</v>
      </c>
      <c r="E29" s="95" t="str">
        <f>_xlfn.XLOOKUP(B29,Cadastro_Acoes!A:A,Cadastro_Acoes!C:C)</f>
        <v>Energia Elétrica</v>
      </c>
      <c r="F29" s="10" t="s">
        <v>63</v>
      </c>
      <c r="G29" s="11">
        <v>129926.89</v>
      </c>
      <c r="H29"/>
      <c r="I29" s="1"/>
    </row>
    <row r="30" spans="1:13" x14ac:dyDescent="0.3">
      <c r="A30" s="9">
        <v>45723</v>
      </c>
      <c r="B30" s="10" t="s">
        <v>29</v>
      </c>
      <c r="C30" s="11">
        <v>9721.4</v>
      </c>
      <c r="D30" s="41">
        <f t="shared" si="1"/>
        <v>7.4822078786000334E-2</v>
      </c>
      <c r="E30" s="10" t="str">
        <f>_xlfn.XLOOKUP(B30,Cadastro_Acoes!A:A,Cadastro_Acoes!C:C)</f>
        <v>Fundos de índice</v>
      </c>
      <c r="F30" s="10" t="s">
        <v>63</v>
      </c>
      <c r="G30" s="11">
        <v>129926.89</v>
      </c>
      <c r="H30"/>
      <c r="I30" s="1"/>
    </row>
    <row r="31" spans="1:13" x14ac:dyDescent="0.3">
      <c r="A31" s="9">
        <v>45723</v>
      </c>
      <c r="B31" s="10" t="s">
        <v>30</v>
      </c>
      <c r="C31" s="11">
        <v>12339.04</v>
      </c>
      <c r="D31" s="41">
        <f t="shared" si="1"/>
        <v>9.4969101469295547E-2</v>
      </c>
      <c r="E31" s="10" t="str">
        <f>_xlfn.XLOOKUP(B31,Cadastro_Acoes!A:A,Cadastro_Acoes!C:C)</f>
        <v>Petróleo, Gás e Biocombustíveis</v>
      </c>
      <c r="F31" s="10" t="s">
        <v>63</v>
      </c>
      <c r="G31" s="11">
        <v>129926.89</v>
      </c>
      <c r="H31"/>
      <c r="I31" s="1"/>
    </row>
    <row r="32" spans="1:13" x14ac:dyDescent="0.3">
      <c r="A32" s="9">
        <v>45723</v>
      </c>
      <c r="B32" s="10" t="s">
        <v>31</v>
      </c>
      <c r="C32" s="11">
        <v>10493</v>
      </c>
      <c r="D32" s="41">
        <f t="shared" si="1"/>
        <v>8.0760803248657767E-2</v>
      </c>
      <c r="E32" s="10" t="str">
        <f>_xlfn.XLOOKUP(B32,Cadastro_Acoes!A:A,Cadastro_Acoes!C:C)</f>
        <v>Fundos de índice</v>
      </c>
      <c r="F32" s="10" t="s">
        <v>63</v>
      </c>
      <c r="G32" s="11">
        <v>129926.89</v>
      </c>
      <c r="H32"/>
      <c r="I32" s="1"/>
    </row>
    <row r="33" spans="1:12" x14ac:dyDescent="0.3">
      <c r="A33" s="9">
        <v>45723</v>
      </c>
      <c r="B33" s="10" t="s">
        <v>32</v>
      </c>
      <c r="C33" s="11">
        <v>14540.1</v>
      </c>
      <c r="D33" s="41">
        <f t="shared" si="1"/>
        <v>0.11190985946019334</v>
      </c>
      <c r="E33" s="10" t="str">
        <f>_xlfn.XLOOKUP(B33,Cadastro_Acoes!A:A,Cadastro_Acoes!C:C)</f>
        <v>Mineração</v>
      </c>
      <c r="F33" s="10" t="s">
        <v>63</v>
      </c>
      <c r="G33" s="11">
        <v>129926.89</v>
      </c>
      <c r="H33"/>
      <c r="I33" s="1"/>
    </row>
    <row r="34" spans="1:12" x14ac:dyDescent="0.3">
      <c r="A34" s="12">
        <v>45723</v>
      </c>
      <c r="B34" s="13" t="s">
        <v>33</v>
      </c>
      <c r="C34" s="14">
        <v>5320.45</v>
      </c>
      <c r="D34" s="42">
        <f t="shared" si="1"/>
        <v>4.0949567868514364E-2</v>
      </c>
      <c r="E34" s="13" t="str">
        <f>_xlfn.XLOOKUP(B34,Cadastro_Acoes!A:A,Cadastro_Acoes!C:C)</f>
        <v>Caixa</v>
      </c>
      <c r="F34" s="13" t="s">
        <v>59</v>
      </c>
      <c r="G34" s="14">
        <v>129926.89</v>
      </c>
      <c r="H34"/>
      <c r="I34" s="1"/>
    </row>
    <row r="35" spans="1:12" x14ac:dyDescent="0.3">
      <c r="A35" s="9">
        <v>45730</v>
      </c>
      <c r="B35" s="10" t="s">
        <v>22</v>
      </c>
      <c r="C35" s="11">
        <v>16201.76</v>
      </c>
      <c r="D35" s="41">
        <f>C35/G35</f>
        <v>0.12315542525471589</v>
      </c>
      <c r="E35" s="10" t="str">
        <f>_xlfn.XLOOKUP(B35,Cadastro_Acoes!A:A,Cadastro_Acoes!C:C)</f>
        <v>Títulos Públicos</v>
      </c>
      <c r="F35" s="10" t="s">
        <v>23</v>
      </c>
      <c r="G35" s="11">
        <f>_xlfn.XLOOKUP(A35,Historico_Cota!A:A,Historico_Cota!C:C)</f>
        <v>131555.39000000001</v>
      </c>
      <c r="H35"/>
    </row>
    <row r="36" spans="1:12" x14ac:dyDescent="0.3">
      <c r="A36" s="9">
        <v>45730</v>
      </c>
      <c r="B36" s="10" t="s">
        <v>24</v>
      </c>
      <c r="C36" s="11">
        <v>14190.92</v>
      </c>
      <c r="D36" s="41">
        <f t="shared" ref="D36:D45" si="2">C36/G36</f>
        <v>0.1078703046678665</v>
      </c>
      <c r="E36" s="10" t="str">
        <f>_xlfn.XLOOKUP(B36,Cadastro_Acoes!A:A,Cadastro_Acoes!C:C)</f>
        <v>Intermediários Financeiros</v>
      </c>
      <c r="F36" s="10" t="s">
        <v>63</v>
      </c>
      <c r="G36" s="11">
        <f>_xlfn.XLOOKUP(A36,Historico_Cota!A:A,Historico_Cota!C:C)</f>
        <v>131555.39000000001</v>
      </c>
      <c r="H36"/>
      <c r="J36" s="3"/>
      <c r="K36" s="1"/>
    </row>
    <row r="37" spans="1:12" x14ac:dyDescent="0.3">
      <c r="A37" s="9">
        <v>45730</v>
      </c>
      <c r="B37" s="10" t="s">
        <v>25</v>
      </c>
      <c r="C37" s="11">
        <v>7086.18</v>
      </c>
      <c r="D37" s="41">
        <f t="shared" si="2"/>
        <v>5.3864611704621146E-2</v>
      </c>
      <c r="E37" s="10" t="str">
        <f>_xlfn.XLOOKUP(B37,Cadastro_Acoes!A:A,Cadastro_Acoes!C:C)</f>
        <v>Previdência e Seguros</v>
      </c>
      <c r="F37" s="10" t="s">
        <v>63</v>
      </c>
      <c r="G37" s="11">
        <f>_xlfn.XLOOKUP(A37,Historico_Cota!A:A,Historico_Cota!C:C)</f>
        <v>131555.39000000001</v>
      </c>
      <c r="H37"/>
      <c r="K37" s="1"/>
    </row>
    <row r="38" spans="1:12" x14ac:dyDescent="0.3">
      <c r="A38" s="9">
        <v>45730</v>
      </c>
      <c r="B38" s="10" t="s">
        <v>26</v>
      </c>
      <c r="C38" s="11">
        <v>14526.32</v>
      </c>
      <c r="D38" s="41">
        <f t="shared" si="2"/>
        <v>0.11041980111951322</v>
      </c>
      <c r="E38" s="10" t="str">
        <f>_xlfn.XLOOKUP(B38,Cadastro_Acoes!A:A,Cadastro_Acoes!C:C)</f>
        <v>Intermediários Financeiros</v>
      </c>
      <c r="F38" s="10" t="s">
        <v>63</v>
      </c>
      <c r="G38" s="11">
        <f>_xlfn.XLOOKUP(A38,Historico_Cota!A:A,Historico_Cota!C:C)</f>
        <v>131555.39000000001</v>
      </c>
      <c r="H38"/>
      <c r="K38" s="1"/>
    </row>
    <row r="39" spans="1:12" x14ac:dyDescent="0.3">
      <c r="A39" s="9">
        <v>45730</v>
      </c>
      <c r="B39" s="10" t="s">
        <v>27</v>
      </c>
      <c r="C39" s="11">
        <v>10877.76</v>
      </c>
      <c r="D39" s="41">
        <f t="shared" si="2"/>
        <v>8.2685779731259956E-2</v>
      </c>
      <c r="E39" s="10" t="str">
        <f>_xlfn.XLOOKUP(B39,Cadastro_Acoes!A:A,Cadastro_Acoes!C:C)</f>
        <v>Energia Elétrica</v>
      </c>
      <c r="F39" s="10" t="s">
        <v>63</v>
      </c>
      <c r="G39" s="11">
        <f>_xlfn.XLOOKUP(A39,Historico_Cota!A:A,Historico_Cota!C:C)</f>
        <v>131555.39000000001</v>
      </c>
      <c r="H39"/>
      <c r="K39" s="1"/>
    </row>
    <row r="40" spans="1:12" x14ac:dyDescent="0.3">
      <c r="A40" s="9">
        <v>45730</v>
      </c>
      <c r="B40" s="10" t="s">
        <v>28</v>
      </c>
      <c r="C40" s="11">
        <v>15043.98</v>
      </c>
      <c r="D40" s="41">
        <f t="shared" si="2"/>
        <v>0.11435472161193851</v>
      </c>
      <c r="E40" s="10" t="str">
        <f>_xlfn.XLOOKUP(B40,Cadastro_Acoes!A:A,Cadastro_Acoes!C:C)</f>
        <v>Energia Elétrica</v>
      </c>
      <c r="F40" s="10" t="s">
        <v>63</v>
      </c>
      <c r="G40" s="11">
        <f>_xlfn.XLOOKUP(A40,Historico_Cota!A:A,Historico_Cota!C:C)</f>
        <v>131555.39000000001</v>
      </c>
      <c r="H40"/>
      <c r="K40" s="1"/>
    </row>
    <row r="41" spans="1:12" x14ac:dyDescent="0.3">
      <c r="A41" s="9">
        <v>45730</v>
      </c>
      <c r="B41" s="10" t="s">
        <v>29</v>
      </c>
      <c r="C41" s="11">
        <v>9412</v>
      </c>
      <c r="D41" s="41">
        <f t="shared" si="2"/>
        <v>7.1544008953186938E-2</v>
      </c>
      <c r="E41" s="10" t="str">
        <f>_xlfn.XLOOKUP(B41,Cadastro_Acoes!A:A,Cadastro_Acoes!C:C)</f>
        <v>Fundos de índice</v>
      </c>
      <c r="F41" s="10" t="s">
        <v>63</v>
      </c>
      <c r="G41" s="11">
        <f>_xlfn.XLOOKUP(A41,Historico_Cota!A:A,Historico_Cota!C:C)</f>
        <v>131555.39000000001</v>
      </c>
      <c r="H41"/>
      <c r="K41" s="1"/>
    </row>
    <row r="42" spans="1:12" x14ac:dyDescent="0.3">
      <c r="A42" s="9">
        <v>45730</v>
      </c>
      <c r="B42" s="10" t="s">
        <v>30</v>
      </c>
      <c r="C42" s="11">
        <v>12670.7</v>
      </c>
      <c r="D42" s="41">
        <f>C42/G42</f>
        <v>9.6314563774239886E-2</v>
      </c>
      <c r="E42" s="10" t="str">
        <f>_xlfn.XLOOKUP(B42,Cadastro_Acoes!A:A,Cadastro_Acoes!C:C)</f>
        <v>Petróleo, Gás e Biocombustíveis</v>
      </c>
      <c r="F42" s="10" t="s">
        <v>63</v>
      </c>
      <c r="G42" s="11">
        <f>_xlfn.XLOOKUP(A42,Historico_Cota!A:A,Historico_Cota!C:C)</f>
        <v>131555.39000000001</v>
      </c>
      <c r="H42" s="3"/>
      <c r="I42" s="1"/>
      <c r="J42" s="84"/>
      <c r="K42" s="1"/>
      <c r="L42" s="1"/>
    </row>
    <row r="43" spans="1:12" x14ac:dyDescent="0.3">
      <c r="A43" s="9">
        <v>45730</v>
      </c>
      <c r="B43" s="10" t="s">
        <v>31</v>
      </c>
      <c r="C43" s="11">
        <v>10178</v>
      </c>
      <c r="D43" s="41">
        <f t="shared" si="2"/>
        <v>7.7366651415802873E-2</v>
      </c>
      <c r="E43" s="10" t="str">
        <f>_xlfn.XLOOKUP(B43,Cadastro_Acoes!A:A,Cadastro_Acoes!C:C)</f>
        <v>Fundos de índice</v>
      </c>
      <c r="F43" s="10" t="s">
        <v>63</v>
      </c>
      <c r="G43" s="11">
        <f>_xlfn.XLOOKUP(A43,Historico_Cota!A:A,Historico_Cota!C:C)</f>
        <v>131555.39000000001</v>
      </c>
      <c r="H43"/>
      <c r="K43" s="1"/>
    </row>
    <row r="44" spans="1:12" x14ac:dyDescent="0.3">
      <c r="A44" s="9">
        <v>45730</v>
      </c>
      <c r="B44" s="10" t="s">
        <v>32</v>
      </c>
      <c r="C44" s="11">
        <v>14353.95</v>
      </c>
      <c r="D44" s="41">
        <f t="shared" si="2"/>
        <v>0.1091095545382063</v>
      </c>
      <c r="E44" s="10" t="str">
        <f>_xlfn.XLOOKUP(B44,Cadastro_Acoes!A:A,Cadastro_Acoes!C:C)</f>
        <v>Mineração</v>
      </c>
      <c r="F44" s="10" t="s">
        <v>63</v>
      </c>
      <c r="G44" s="11">
        <f>_xlfn.XLOOKUP(A44,Historico_Cota!A:A,Historico_Cota!C:C)</f>
        <v>131555.39000000001</v>
      </c>
      <c r="H44"/>
      <c r="K44" s="1"/>
    </row>
    <row r="45" spans="1:12" x14ac:dyDescent="0.3">
      <c r="A45" s="12">
        <v>45730</v>
      </c>
      <c r="B45" s="13" t="s">
        <v>33</v>
      </c>
      <c r="C45" s="14">
        <v>6065.46</v>
      </c>
      <c r="D45" s="42">
        <f t="shared" si="2"/>
        <v>4.6105750589162477E-2</v>
      </c>
      <c r="E45" s="13" t="str">
        <f>_xlfn.XLOOKUP(B45,Cadastro_Acoes!A:A,Cadastro_Acoes!C:C)</f>
        <v>Caixa</v>
      </c>
      <c r="F45" s="13" t="s">
        <v>59</v>
      </c>
      <c r="G45" s="14">
        <f>_xlfn.XLOOKUP(A45,Historico_Cota!A:A,Historico_Cota!C:C)</f>
        <v>131555.39000000001</v>
      </c>
      <c r="H45"/>
    </row>
    <row r="46" spans="1:12" x14ac:dyDescent="0.3">
      <c r="A46" s="9">
        <v>45733</v>
      </c>
      <c r="B46" s="10" t="s">
        <v>22</v>
      </c>
      <c r="C46" s="11">
        <v>16209.74</v>
      </c>
      <c r="D46" s="41">
        <f>C46/G46</f>
        <v>0.12190910158169255</v>
      </c>
      <c r="E46" s="10" t="str">
        <f>_xlfn.XLOOKUP(B46,Cadastro_Acoes!A:A,Cadastro_Acoes!C:C)</f>
        <v>Títulos Públicos</v>
      </c>
      <c r="F46" s="10" t="s">
        <v>23</v>
      </c>
      <c r="G46" s="11">
        <f>_xlfn.XLOOKUP(A46,Historico_Cota!A:A,Historico_Cota!C:C)</f>
        <v>132965.79</v>
      </c>
      <c r="H46"/>
      <c r="I46" s="1"/>
      <c r="J46" s="1"/>
    </row>
    <row r="47" spans="1:12" x14ac:dyDescent="0.3">
      <c r="A47" s="9">
        <v>45733</v>
      </c>
      <c r="B47" s="10" t="s">
        <v>24</v>
      </c>
      <c r="C47" s="11">
        <v>14486.14</v>
      </c>
      <c r="D47" s="41">
        <f t="shared" ref="D47:D52" si="3">C47/G47</f>
        <v>0.10894636883667595</v>
      </c>
      <c r="E47" s="10" t="str">
        <f>_xlfn.XLOOKUP(B47,Cadastro_Acoes!A:A,Cadastro_Acoes!C:C)</f>
        <v>Intermediários Financeiros</v>
      </c>
      <c r="F47" s="10" t="s">
        <v>63</v>
      </c>
      <c r="G47" s="11">
        <f>_xlfn.XLOOKUP(A47,Historico_Cota!A:A,Historico_Cota!C:C)</f>
        <v>132965.79</v>
      </c>
      <c r="I47" s="1"/>
    </row>
    <row r="48" spans="1:12" x14ac:dyDescent="0.3">
      <c r="A48" s="9">
        <v>45733</v>
      </c>
      <c r="B48" s="10" t="s">
        <v>25</v>
      </c>
      <c r="C48" s="11">
        <v>7120</v>
      </c>
      <c r="D48" s="41">
        <f t="shared" si="3"/>
        <v>5.3547607997515748E-2</v>
      </c>
      <c r="E48" s="10" t="str">
        <f>_xlfn.XLOOKUP(B48,Cadastro_Acoes!A:A,Cadastro_Acoes!C:C)</f>
        <v>Previdência e Seguros</v>
      </c>
      <c r="F48" s="10" t="s">
        <v>63</v>
      </c>
      <c r="G48" s="11">
        <f>_xlfn.XLOOKUP(A48,Historico_Cota!A:A,Historico_Cota!C:C)</f>
        <v>132965.79</v>
      </c>
      <c r="I48" s="1"/>
    </row>
    <row r="49" spans="1:11" x14ac:dyDescent="0.3">
      <c r="A49" s="9">
        <v>45733</v>
      </c>
      <c r="B49" s="10" t="s">
        <v>26</v>
      </c>
      <c r="C49" s="11">
        <v>14937.2</v>
      </c>
      <c r="D49" s="41">
        <f t="shared" si="3"/>
        <v>0.11233866996917026</v>
      </c>
      <c r="E49" s="10" t="str">
        <f>_xlfn.XLOOKUP(B49,Cadastro_Acoes!A:A,Cadastro_Acoes!C:C)</f>
        <v>Intermediários Financeiros</v>
      </c>
      <c r="F49" s="10" t="s">
        <v>63</v>
      </c>
      <c r="G49" s="11">
        <f>_xlfn.XLOOKUP(A49,Historico_Cota!A:A,Historico_Cota!C:C)</f>
        <v>132965.79</v>
      </c>
      <c r="I49" s="1"/>
    </row>
    <row r="50" spans="1:11" x14ac:dyDescent="0.3">
      <c r="A50" s="9">
        <v>45733</v>
      </c>
      <c r="B50" s="10" t="s">
        <v>27</v>
      </c>
      <c r="C50" s="11">
        <v>11102.4</v>
      </c>
      <c r="D50" s="41">
        <f t="shared" si="3"/>
        <v>8.3498168965114999E-2</v>
      </c>
      <c r="E50" s="10" t="str">
        <f>_xlfn.XLOOKUP(B50,Cadastro_Acoes!A:A,Cadastro_Acoes!C:C)</f>
        <v>Energia Elétrica</v>
      </c>
      <c r="F50" s="10" t="s">
        <v>63</v>
      </c>
      <c r="G50" s="11">
        <f>_xlfn.XLOOKUP(A50,Historico_Cota!A:A,Historico_Cota!C:C)</f>
        <v>132965.79</v>
      </c>
      <c r="I50" s="1"/>
    </row>
    <row r="51" spans="1:11" x14ac:dyDescent="0.3">
      <c r="A51" s="9">
        <v>45733</v>
      </c>
      <c r="B51" s="10" t="s">
        <v>28</v>
      </c>
      <c r="C51" s="11">
        <v>15157.17</v>
      </c>
      <c r="D51" s="41">
        <f t="shared" si="3"/>
        <v>0.11399300526849801</v>
      </c>
      <c r="E51" s="10" t="str">
        <f>_xlfn.XLOOKUP(B51,Cadastro_Acoes!A:A,Cadastro_Acoes!C:C)</f>
        <v>Energia Elétrica</v>
      </c>
      <c r="F51" s="10" t="s">
        <v>63</v>
      </c>
      <c r="G51" s="11">
        <f>_xlfn.XLOOKUP(A51,Historico_Cota!A:A,Historico_Cota!C:C)</f>
        <v>132965.79</v>
      </c>
      <c r="I51" s="1"/>
    </row>
    <row r="52" spans="1:11" x14ac:dyDescent="0.3">
      <c r="A52" s="9">
        <v>45733</v>
      </c>
      <c r="B52" s="10" t="s">
        <v>29</v>
      </c>
      <c r="C52" s="11">
        <v>6860.9</v>
      </c>
      <c r="D52" s="41">
        <f t="shared" si="3"/>
        <v>5.1598986476145477E-2</v>
      </c>
      <c r="E52" s="10" t="str">
        <f>_xlfn.XLOOKUP(B52,Cadastro_Acoes!A:A,Cadastro_Acoes!C:C)</f>
        <v>Fundos de índice</v>
      </c>
      <c r="F52" s="10" t="s">
        <v>63</v>
      </c>
      <c r="G52" s="11">
        <f>_xlfn.XLOOKUP(A52,Historico_Cota!A:A,Historico_Cota!C:C)</f>
        <v>132965.79</v>
      </c>
      <c r="I52" s="1"/>
    </row>
    <row r="53" spans="1:11" x14ac:dyDescent="0.3">
      <c r="A53" s="9">
        <v>45733</v>
      </c>
      <c r="B53" s="10" t="s">
        <v>30</v>
      </c>
      <c r="C53" s="11">
        <v>16753.400000000001</v>
      </c>
      <c r="D53" s="41">
        <f>C53/G53</f>
        <v>0.12599782244741298</v>
      </c>
      <c r="E53" s="10" t="str">
        <f>_xlfn.XLOOKUP(B53,Cadastro_Acoes!A:A,Cadastro_Acoes!C:C)</f>
        <v>Petróleo, Gás e Biocombustíveis</v>
      </c>
      <c r="F53" s="10" t="s">
        <v>63</v>
      </c>
      <c r="G53" s="11">
        <f>_xlfn.XLOOKUP(A53,Historico_Cota!A:A,Historico_Cota!C:C)</f>
        <v>132965.79</v>
      </c>
      <c r="I53" s="1"/>
    </row>
    <row r="54" spans="1:11" x14ac:dyDescent="0.3">
      <c r="A54" s="9">
        <v>45733</v>
      </c>
      <c r="B54" s="10" t="s">
        <v>31</v>
      </c>
      <c r="C54" s="11">
        <v>6595.68</v>
      </c>
      <c r="D54" s="41">
        <f t="shared" ref="D54:D56" si="4">C54/G54</f>
        <v>4.9604338078238018E-2</v>
      </c>
      <c r="E54" s="10" t="str">
        <f>_xlfn.XLOOKUP(B54,Cadastro_Acoes!A:A,Cadastro_Acoes!C:C)</f>
        <v>Fundos de índice</v>
      </c>
      <c r="F54" s="10" t="s">
        <v>63</v>
      </c>
      <c r="G54" s="11">
        <f>_xlfn.XLOOKUP(A54,Historico_Cota!A:A,Historico_Cota!C:C)</f>
        <v>132965.79</v>
      </c>
      <c r="I54" s="1"/>
    </row>
    <row r="55" spans="1:11" x14ac:dyDescent="0.3">
      <c r="A55" s="9">
        <v>45733</v>
      </c>
      <c r="B55" s="10" t="s">
        <v>32</v>
      </c>
      <c r="C55" s="11">
        <v>14560.5</v>
      </c>
      <c r="D55" s="41">
        <f t="shared" si="4"/>
        <v>0.10950561042806574</v>
      </c>
      <c r="E55" s="10" t="str">
        <f>_xlfn.XLOOKUP(B55,Cadastro_Acoes!A:A,Cadastro_Acoes!C:C)</f>
        <v>Mineração</v>
      </c>
      <c r="F55" s="10" t="s">
        <v>63</v>
      </c>
      <c r="G55" s="11">
        <f>_xlfn.XLOOKUP(A55,Historico_Cota!A:A,Historico_Cota!C:C)</f>
        <v>132965.79</v>
      </c>
      <c r="I55" s="1"/>
    </row>
    <row r="56" spans="1:11" x14ac:dyDescent="0.3">
      <c r="A56" s="12">
        <v>45733</v>
      </c>
      <c r="B56" s="13" t="s">
        <v>33</v>
      </c>
      <c r="C56" s="14">
        <v>6065.46</v>
      </c>
      <c r="D56" s="42">
        <f t="shared" si="4"/>
        <v>4.5616695843344365E-2</v>
      </c>
      <c r="E56" s="13" t="str">
        <f>_xlfn.XLOOKUP(B56,Cadastro_Acoes!A:A,Cadastro_Acoes!C:C)</f>
        <v>Caixa</v>
      </c>
      <c r="F56" s="13" t="s">
        <v>59</v>
      </c>
      <c r="G56" s="14">
        <f>_xlfn.XLOOKUP(A56,Historico_Cota!A:A,Historico_Cota!C:C)</f>
        <v>132965.79</v>
      </c>
      <c r="H56"/>
      <c r="I56" s="88"/>
      <c r="K56" s="3"/>
    </row>
    <row r="57" spans="1:11" x14ac:dyDescent="0.3">
      <c r="A57" s="9">
        <v>45734</v>
      </c>
      <c r="B57" s="10" t="s">
        <v>22</v>
      </c>
      <c r="C57" s="11">
        <v>16217.71</v>
      </c>
      <c r="D57" s="41">
        <f>C57/G57</f>
        <v>0.12169453629935739</v>
      </c>
      <c r="E57" s="10" t="str">
        <f>_xlfn.XLOOKUP(B57,Cadastro_Acoes!A:A,Cadastro_Acoes!C:C)</f>
        <v>Títulos Públicos</v>
      </c>
      <c r="F57" s="10" t="s">
        <v>23</v>
      </c>
      <c r="G57" s="11">
        <f>_xlfn.XLOOKUP(A57,Historico_Cota!A:A,Historico_Cota!C:C)</f>
        <v>133265.72</v>
      </c>
      <c r="H57" s="3"/>
      <c r="I57" s="1"/>
    </row>
    <row r="58" spans="1:11" x14ac:dyDescent="0.3">
      <c r="A58" s="9">
        <v>45734</v>
      </c>
      <c r="B58" s="10" t="s">
        <v>24</v>
      </c>
      <c r="C58" s="11">
        <v>14506.5</v>
      </c>
      <c r="D58" s="41">
        <f t="shared" ref="D58:D63" si="5">C58/G58</f>
        <v>0.10885394983796283</v>
      </c>
      <c r="E58" s="10" t="str">
        <f>_xlfn.XLOOKUP(B58,Cadastro_Acoes!A:A,Cadastro_Acoes!C:C)</f>
        <v>Intermediários Financeiros</v>
      </c>
      <c r="F58" s="10" t="s">
        <v>63</v>
      </c>
      <c r="G58" s="11">
        <f>_xlfn.XLOOKUP(A58,Historico_Cota!A:A,Historico_Cota!C:C)</f>
        <v>133265.72</v>
      </c>
      <c r="H58"/>
      <c r="I58" s="89"/>
    </row>
    <row r="59" spans="1:11" x14ac:dyDescent="0.3">
      <c r="A59" s="9">
        <v>45734</v>
      </c>
      <c r="B59" s="10" t="s">
        <v>25</v>
      </c>
      <c r="C59" s="11">
        <v>7187.64</v>
      </c>
      <c r="D59" s="41">
        <f t="shared" si="5"/>
        <v>5.3934650261147431E-2</v>
      </c>
      <c r="E59" s="10" t="str">
        <f>_xlfn.XLOOKUP(B59,Cadastro_Acoes!A:A,Cadastro_Acoes!C:C)</f>
        <v>Previdência e Seguros</v>
      </c>
      <c r="F59" s="10" t="s">
        <v>63</v>
      </c>
      <c r="G59" s="11">
        <f>_xlfn.XLOOKUP(A59,Historico_Cota!A:A,Historico_Cota!C:C)</f>
        <v>133265.72</v>
      </c>
      <c r="H59"/>
    </row>
    <row r="60" spans="1:11" x14ac:dyDescent="0.3">
      <c r="A60" s="9">
        <v>45734</v>
      </c>
      <c r="B60" s="10" t="s">
        <v>26</v>
      </c>
      <c r="C60" s="11">
        <v>15223.96</v>
      </c>
      <c r="D60" s="41">
        <f t="shared" si="5"/>
        <v>0.11423762990212336</v>
      </c>
      <c r="E60" s="10" t="str">
        <f>_xlfn.XLOOKUP(B60,Cadastro_Acoes!A:A,Cadastro_Acoes!C:C)</f>
        <v>Intermediários Financeiros</v>
      </c>
      <c r="F60" s="10" t="s">
        <v>63</v>
      </c>
      <c r="G60" s="11">
        <f>_xlfn.XLOOKUP(A60,Historico_Cota!A:A,Historico_Cota!C:C)</f>
        <v>133265.72</v>
      </c>
      <c r="H60"/>
    </row>
    <row r="61" spans="1:11" x14ac:dyDescent="0.3">
      <c r="A61" s="9">
        <v>45734</v>
      </c>
      <c r="B61" s="10" t="s">
        <v>27</v>
      </c>
      <c r="C61" s="11">
        <v>11142.72</v>
      </c>
      <c r="D61" s="41">
        <f t="shared" si="5"/>
        <v>8.3612800050905808E-2</v>
      </c>
      <c r="E61" s="10" t="str">
        <f>_xlfn.XLOOKUP(B61,Cadastro_Acoes!A:A,Cadastro_Acoes!C:C)</f>
        <v>Energia Elétrica</v>
      </c>
      <c r="F61" s="10" t="s">
        <v>63</v>
      </c>
      <c r="G61" s="11">
        <f>_xlfn.XLOOKUP(A61,Historico_Cota!A:A,Historico_Cota!C:C)</f>
        <v>133265.72</v>
      </c>
      <c r="H61"/>
    </row>
    <row r="62" spans="1:11" x14ac:dyDescent="0.3">
      <c r="A62" s="9">
        <v>45734</v>
      </c>
      <c r="B62" s="10" t="s">
        <v>28</v>
      </c>
      <c r="C62" s="11">
        <v>15191.47</v>
      </c>
      <c r="D62" s="41">
        <f t="shared" si="5"/>
        <v>0.11399383127183794</v>
      </c>
      <c r="E62" s="10" t="str">
        <f>_xlfn.XLOOKUP(B62,Cadastro_Acoes!A:A,Cadastro_Acoes!C:C)</f>
        <v>Energia Elétrica</v>
      </c>
      <c r="F62" s="10" t="s">
        <v>63</v>
      </c>
      <c r="G62" s="11">
        <f>_xlfn.XLOOKUP(A62,Historico_Cota!A:A,Historico_Cota!C:C)</f>
        <v>133265.72</v>
      </c>
      <c r="H62"/>
    </row>
    <row r="63" spans="1:11" x14ac:dyDescent="0.3">
      <c r="A63" s="9">
        <v>45734</v>
      </c>
      <c r="B63" s="10" t="s">
        <v>29</v>
      </c>
      <c r="C63" s="11">
        <v>6782.05</v>
      </c>
      <c r="D63" s="41">
        <f t="shared" si="5"/>
        <v>5.0891181918350799E-2</v>
      </c>
      <c r="E63" s="10" t="str">
        <f>_xlfn.XLOOKUP(B63,Cadastro_Acoes!A:A,Cadastro_Acoes!C:C)</f>
        <v>Fundos de índice</v>
      </c>
      <c r="F63" s="10" t="s">
        <v>63</v>
      </c>
      <c r="G63" s="11">
        <f>_xlfn.XLOOKUP(A63,Historico_Cota!A:A,Historico_Cota!C:C)</f>
        <v>133265.72</v>
      </c>
      <c r="H63"/>
    </row>
    <row r="64" spans="1:11" x14ac:dyDescent="0.3">
      <c r="A64" s="9">
        <v>45734</v>
      </c>
      <c r="B64" s="10" t="s">
        <v>30</v>
      </c>
      <c r="C64" s="11">
        <v>16732.3</v>
      </c>
      <c r="D64" s="41">
        <f>C64/G64</f>
        <v>0.12555591940673114</v>
      </c>
      <c r="E64" s="10" t="str">
        <f>_xlfn.XLOOKUP(B64,Cadastro_Acoes!A:A,Cadastro_Acoes!C:C)</f>
        <v>Petróleo, Gás e Biocombustíveis</v>
      </c>
      <c r="F64" s="10" t="s">
        <v>63</v>
      </c>
      <c r="G64" s="11">
        <f>_xlfn.XLOOKUP(A64,Historico_Cota!A:A,Historico_Cota!C:C)</f>
        <v>133265.72</v>
      </c>
      <c r="H64"/>
    </row>
    <row r="65" spans="1:9" x14ac:dyDescent="0.3">
      <c r="A65" s="9">
        <v>45734</v>
      </c>
      <c r="B65" s="10" t="s">
        <v>31</v>
      </c>
      <c r="C65" s="11">
        <v>6441.66</v>
      </c>
      <c r="D65" s="41">
        <f t="shared" ref="D65:D67" si="6">C65/G65</f>
        <v>4.8336961673264511E-2</v>
      </c>
      <c r="E65" s="10" t="str">
        <f>_xlfn.XLOOKUP(B65,Cadastro_Acoes!A:A,Cadastro_Acoes!C:C)</f>
        <v>Fundos de índice</v>
      </c>
      <c r="F65" s="10" t="s">
        <v>63</v>
      </c>
      <c r="G65" s="11">
        <f>_xlfn.XLOOKUP(A65,Historico_Cota!A:A,Historico_Cota!C:C)</f>
        <v>133265.72</v>
      </c>
      <c r="H65"/>
    </row>
    <row r="66" spans="1:9" x14ac:dyDescent="0.3">
      <c r="A66" s="9">
        <v>45734</v>
      </c>
      <c r="B66" s="10" t="s">
        <v>32</v>
      </c>
      <c r="C66" s="11">
        <v>14667.6</v>
      </c>
      <c r="D66" s="41">
        <f t="shared" si="6"/>
        <v>0.11006281285239745</v>
      </c>
      <c r="E66" s="10" t="str">
        <f>_xlfn.XLOOKUP(B66,Cadastro_Acoes!A:A,Cadastro_Acoes!C:C)</f>
        <v>Mineração</v>
      </c>
      <c r="F66" s="10" t="s">
        <v>63</v>
      </c>
      <c r="G66" s="11">
        <f>_xlfn.XLOOKUP(A66,Historico_Cota!A:A,Historico_Cota!C:C)</f>
        <v>133265.72</v>
      </c>
      <c r="H66"/>
    </row>
    <row r="67" spans="1:9" x14ac:dyDescent="0.3">
      <c r="A67" s="12">
        <v>45734</v>
      </c>
      <c r="B67" s="13" t="s">
        <v>33</v>
      </c>
      <c r="C67" s="14">
        <v>6065.46</v>
      </c>
      <c r="D67" s="42">
        <f t="shared" si="6"/>
        <v>4.5514030164696517E-2</v>
      </c>
      <c r="E67" s="13" t="str">
        <f>_xlfn.XLOOKUP(B67,Cadastro_Acoes!A:A,Cadastro_Acoes!C:C)</f>
        <v>Caixa</v>
      </c>
      <c r="F67" s="13" t="s">
        <v>59</v>
      </c>
      <c r="G67" s="14">
        <f>_xlfn.XLOOKUP(A67,Historico_Cota!A:A,Historico_Cota!C:C)</f>
        <v>133265.72</v>
      </c>
      <c r="H67"/>
    </row>
    <row r="68" spans="1:9" x14ac:dyDescent="0.3">
      <c r="A68" s="9">
        <v>45737</v>
      </c>
      <c r="B68" s="10" t="s">
        <v>22</v>
      </c>
      <c r="C68" s="11">
        <v>16242.19</v>
      </c>
      <c r="D68" s="41">
        <f>C68/G68</f>
        <v>0.12153482577031954</v>
      </c>
      <c r="E68" s="10" t="str">
        <f>_xlfn.XLOOKUP(B68,Cadastro_Acoes!A:A,Cadastro_Acoes!C:C)</f>
        <v>Títulos Públicos</v>
      </c>
      <c r="F68" s="10" t="s">
        <v>23</v>
      </c>
      <c r="G68" s="11">
        <f>_xlfn.XLOOKUP(A68,Historico_Cota!A:A,Historico_Cota!C:C)</f>
        <v>133642.26999999999</v>
      </c>
      <c r="H68"/>
    </row>
    <row r="69" spans="1:9" x14ac:dyDescent="0.3">
      <c r="A69" s="9">
        <v>45737</v>
      </c>
      <c r="B69" s="10" t="s">
        <v>24</v>
      </c>
      <c r="C69" s="11">
        <v>14440.33</v>
      </c>
      <c r="D69" s="41">
        <f t="shared" ref="D69:D74" si="7">C69/G69</f>
        <v>0.10805211554697478</v>
      </c>
      <c r="E69" s="10" t="str">
        <f>_xlfn.XLOOKUP(B69,Cadastro_Acoes!A:A,Cadastro_Acoes!C:C)</f>
        <v>Intermediários Financeiros</v>
      </c>
      <c r="F69" s="10" t="s">
        <v>63</v>
      </c>
      <c r="G69" s="11">
        <f>_xlfn.XLOOKUP(A69,Historico_Cota!A:A,Historico_Cota!C:C)</f>
        <v>133642.26999999999</v>
      </c>
      <c r="H69"/>
    </row>
    <row r="70" spans="1:9" x14ac:dyDescent="0.3">
      <c r="A70" s="9">
        <v>45737</v>
      </c>
      <c r="B70" s="10" t="s">
        <v>25</v>
      </c>
      <c r="C70" s="11">
        <v>7175.18</v>
      </c>
      <c r="D70" s="41">
        <f t="shared" si="7"/>
        <v>5.3689450201646539E-2</v>
      </c>
      <c r="E70" s="10" t="str">
        <f>_xlfn.XLOOKUP(B70,Cadastro_Acoes!A:A,Cadastro_Acoes!C:C)</f>
        <v>Previdência e Seguros</v>
      </c>
      <c r="F70" s="10" t="s">
        <v>63</v>
      </c>
      <c r="G70" s="11">
        <f>_xlfn.XLOOKUP(A70,Historico_Cota!A:A,Historico_Cota!C:C)</f>
        <v>133642.26999999999</v>
      </c>
      <c r="H70"/>
    </row>
    <row r="71" spans="1:9" x14ac:dyDescent="0.3">
      <c r="A71" s="9">
        <v>45737</v>
      </c>
      <c r="B71" s="10" t="s">
        <v>26</v>
      </c>
      <c r="C71" s="11">
        <v>15322.4</v>
      </c>
      <c r="D71" s="41">
        <f t="shared" si="7"/>
        <v>0.11465234764419971</v>
      </c>
      <c r="E71" s="10" t="str">
        <f>_xlfn.XLOOKUP(B71,Cadastro_Acoes!A:A,Cadastro_Acoes!C:C)</f>
        <v>Intermediários Financeiros</v>
      </c>
      <c r="F71" s="10" t="s">
        <v>63</v>
      </c>
      <c r="G71" s="11">
        <f>_xlfn.XLOOKUP(A71,Historico_Cota!A:A,Historico_Cota!C:C)</f>
        <v>133642.26999999999</v>
      </c>
      <c r="H71"/>
    </row>
    <row r="72" spans="1:9" x14ac:dyDescent="0.3">
      <c r="A72" s="9">
        <v>45737</v>
      </c>
      <c r="B72" s="10" t="s">
        <v>27</v>
      </c>
      <c r="C72" s="11">
        <v>11255.04</v>
      </c>
      <c r="D72" s="41">
        <f t="shared" si="7"/>
        <v>8.4217665563447869E-2</v>
      </c>
      <c r="E72" s="10" t="str">
        <f>_xlfn.XLOOKUP(B72,Cadastro_Acoes!A:A,Cadastro_Acoes!C:C)</f>
        <v>Energia Elétrica</v>
      </c>
      <c r="F72" s="10" t="s">
        <v>63</v>
      </c>
      <c r="G72" s="11">
        <f>_xlfn.XLOOKUP(A72,Historico_Cota!A:A,Historico_Cota!C:C)</f>
        <v>133642.26999999999</v>
      </c>
      <c r="H72"/>
    </row>
    <row r="73" spans="1:9" x14ac:dyDescent="0.3">
      <c r="A73" s="9">
        <v>45737</v>
      </c>
      <c r="B73" s="10" t="s">
        <v>28</v>
      </c>
      <c r="C73" s="11">
        <v>15459.01</v>
      </c>
      <c r="D73" s="41">
        <f t="shared" si="7"/>
        <v>0.11567455416613323</v>
      </c>
      <c r="E73" s="10" t="str">
        <f>_xlfn.XLOOKUP(B73,Cadastro_Acoes!A:A,Cadastro_Acoes!C:C)</f>
        <v>Energia Elétrica</v>
      </c>
      <c r="F73" s="10" t="s">
        <v>63</v>
      </c>
      <c r="G73" s="11">
        <f>_xlfn.XLOOKUP(A73,Historico_Cota!A:A,Historico_Cota!C:C)</f>
        <v>133642.26999999999</v>
      </c>
      <c r="H73"/>
    </row>
    <row r="74" spans="1:9" x14ac:dyDescent="0.3">
      <c r="A74" s="9">
        <v>45737</v>
      </c>
      <c r="B74" s="10" t="s">
        <v>29</v>
      </c>
      <c r="C74" s="11">
        <v>6890.35</v>
      </c>
      <c r="D74" s="41">
        <f t="shared" si="7"/>
        <v>5.1558163446340746E-2</v>
      </c>
      <c r="E74" s="10" t="str">
        <f>_xlfn.XLOOKUP(B74,Cadastro_Acoes!A:A,Cadastro_Acoes!C:C)</f>
        <v>Fundos de índice</v>
      </c>
      <c r="F74" s="10" t="s">
        <v>63</v>
      </c>
      <c r="G74" s="11">
        <f>_xlfn.XLOOKUP(A74,Historico_Cota!A:A,Historico_Cota!C:C)</f>
        <v>133642.26999999999</v>
      </c>
      <c r="H74"/>
    </row>
    <row r="75" spans="1:9" x14ac:dyDescent="0.3">
      <c r="A75" s="9">
        <v>45737</v>
      </c>
      <c r="B75" s="10" t="s">
        <v>30</v>
      </c>
      <c r="C75" s="11">
        <v>16483.32</v>
      </c>
      <c r="D75" s="41">
        <f>C75/G75</f>
        <v>0.12333912017507635</v>
      </c>
      <c r="E75" s="10" t="str">
        <f>_xlfn.XLOOKUP(B75,Cadastro_Acoes!A:A,Cadastro_Acoes!C:C)</f>
        <v>Petróleo, Gás e Biocombustíveis</v>
      </c>
      <c r="F75" s="10" t="s">
        <v>63</v>
      </c>
      <c r="G75" s="11">
        <f>_xlfn.XLOOKUP(A75,Historico_Cota!A:A,Historico_Cota!C:C)</f>
        <v>133642.26999999999</v>
      </c>
      <c r="H75"/>
    </row>
    <row r="76" spans="1:9" x14ac:dyDescent="0.3">
      <c r="A76" s="9">
        <v>45737</v>
      </c>
      <c r="B76" s="10" t="s">
        <v>31</v>
      </c>
      <c r="C76" s="11">
        <v>6582.09</v>
      </c>
      <c r="D76" s="41">
        <f t="shared" ref="D76:D78" si="8">C76/G76</f>
        <v>4.925155790903582E-2</v>
      </c>
      <c r="E76" s="10" t="str">
        <f>_xlfn.XLOOKUP(B76,Cadastro_Acoes!A:A,Cadastro_Acoes!C:C)</f>
        <v>Fundos de índice</v>
      </c>
      <c r="F76" s="10" t="s">
        <v>63</v>
      </c>
      <c r="G76" s="11">
        <f>_xlfn.XLOOKUP(A76,Historico_Cota!A:A,Historico_Cota!C:C)</f>
        <v>133642.26999999999</v>
      </c>
      <c r="H76"/>
    </row>
    <row r="77" spans="1:9" x14ac:dyDescent="0.3">
      <c r="A77" s="9">
        <v>45737</v>
      </c>
      <c r="B77" s="10" t="s">
        <v>32</v>
      </c>
      <c r="C77" s="11">
        <v>14649.75</v>
      </c>
      <c r="D77" s="41">
        <f t="shared" si="8"/>
        <v>0.10961913472436528</v>
      </c>
      <c r="E77" s="10" t="str">
        <f>_xlfn.XLOOKUP(B77,Cadastro_Acoes!A:A,Cadastro_Acoes!C:C)</f>
        <v>Mineração</v>
      </c>
      <c r="F77" s="10" t="s">
        <v>63</v>
      </c>
      <c r="G77" s="11">
        <f>_xlfn.XLOOKUP(A77,Historico_Cota!A:A,Historico_Cota!C:C)</f>
        <v>133642.26999999999</v>
      </c>
      <c r="H77"/>
    </row>
    <row r="78" spans="1:9" x14ac:dyDescent="0.3">
      <c r="A78" s="12">
        <v>45737</v>
      </c>
      <c r="B78" s="13" t="s">
        <v>33</v>
      </c>
      <c r="C78" s="14">
        <v>8570.68</v>
      </c>
      <c r="D78" s="42">
        <f t="shared" si="8"/>
        <v>6.4131505698010072E-2</v>
      </c>
      <c r="E78" s="13" t="str">
        <f>_xlfn.XLOOKUP(B78,Cadastro_Acoes!A:A,Cadastro_Acoes!C:C)</f>
        <v>Caixa</v>
      </c>
      <c r="F78" s="13" t="s">
        <v>59</v>
      </c>
      <c r="G78" s="14">
        <f>_xlfn.XLOOKUP(A78,Historico_Cota!A:A,Historico_Cota!C:C)</f>
        <v>133642.26999999999</v>
      </c>
      <c r="H78"/>
    </row>
    <row r="79" spans="1:9" x14ac:dyDescent="0.3">
      <c r="A79" s="9">
        <v>45742</v>
      </c>
      <c r="B79" s="10" t="s">
        <v>22</v>
      </c>
      <c r="C79" s="11">
        <v>16267.8</v>
      </c>
      <c r="D79" s="41">
        <f>C79/G79</f>
        <v>0.12113884724410574</v>
      </c>
      <c r="E79" s="10" t="str">
        <f>_xlfn.XLOOKUP(B79,Cadastro_Acoes!A:A,Cadastro_Acoes!C:C)</f>
        <v>Títulos Públicos</v>
      </c>
      <c r="F79" s="10" t="s">
        <v>23</v>
      </c>
      <c r="G79" s="11">
        <f>_xlfn.XLOOKUP(A79,Historico_Cota!A:A,Historico_Cota!C:C)</f>
        <v>134290.53</v>
      </c>
      <c r="H79"/>
      <c r="I79" s="1"/>
    </row>
    <row r="80" spans="1:9" x14ac:dyDescent="0.3">
      <c r="A80" s="9">
        <v>45742</v>
      </c>
      <c r="B80" s="10" t="s">
        <v>24</v>
      </c>
      <c r="C80" s="11">
        <v>14664.29</v>
      </c>
      <c r="D80" s="41">
        <f t="shared" ref="D80:D85" si="9">C80/G80</f>
        <v>0.10919824353958542</v>
      </c>
      <c r="E80" s="10" t="str">
        <f>_xlfn.XLOOKUP(B80,Cadastro_Acoes!A:A,Cadastro_Acoes!C:C)</f>
        <v>Intermediários Financeiros</v>
      </c>
      <c r="F80" s="10" t="s">
        <v>63</v>
      </c>
      <c r="G80" s="11">
        <f>_xlfn.XLOOKUP(A80,Historico_Cota!A:A,Historico_Cota!C:C)</f>
        <v>134290.53</v>
      </c>
      <c r="I80" s="1"/>
    </row>
    <row r="81" spans="1:11" x14ac:dyDescent="0.3">
      <c r="A81" s="9">
        <v>45742</v>
      </c>
      <c r="B81" s="10" t="s">
        <v>25</v>
      </c>
      <c r="C81" s="11">
        <v>7143.14</v>
      </c>
      <c r="D81" s="41">
        <f t="shared" si="9"/>
        <v>5.3191688200202952E-2</v>
      </c>
      <c r="E81" s="10" t="str">
        <f>_xlfn.XLOOKUP(B81,Cadastro_Acoes!A:A,Cadastro_Acoes!C:C)</f>
        <v>Previdência e Seguros</v>
      </c>
      <c r="F81" s="10" t="s">
        <v>63</v>
      </c>
      <c r="G81" s="11">
        <f>_xlfn.XLOOKUP(A81,Historico_Cota!A:A,Historico_Cota!C:C)</f>
        <v>134290.53</v>
      </c>
      <c r="I81" s="1"/>
    </row>
    <row r="82" spans="1:11" x14ac:dyDescent="0.3">
      <c r="A82" s="9">
        <v>45742</v>
      </c>
      <c r="B82" s="10" t="s">
        <v>26</v>
      </c>
      <c r="C82" s="11">
        <v>15116.96</v>
      </c>
      <c r="D82" s="41">
        <f t="shared" si="9"/>
        <v>0.11256906946454079</v>
      </c>
      <c r="E82" s="10" t="str">
        <f>_xlfn.XLOOKUP(B82,Cadastro_Acoes!A:A,Cadastro_Acoes!C:C)</f>
        <v>Intermediários Financeiros</v>
      </c>
      <c r="F82" s="10" t="s">
        <v>63</v>
      </c>
      <c r="G82" s="11">
        <f>_xlfn.XLOOKUP(A82,Historico_Cota!A:A,Historico_Cota!C:C)</f>
        <v>134290.53</v>
      </c>
      <c r="I82" s="1"/>
    </row>
    <row r="83" spans="1:11" x14ac:dyDescent="0.3">
      <c r="A83" s="9">
        <v>45742</v>
      </c>
      <c r="B83" s="10" t="s">
        <v>27</v>
      </c>
      <c r="C83" s="11">
        <v>11148.48</v>
      </c>
      <c r="D83" s="41">
        <f t="shared" si="9"/>
        <v>8.3017618591571571E-2</v>
      </c>
      <c r="E83" s="10" t="str">
        <f>_xlfn.XLOOKUP(B83,Cadastro_Acoes!A:A,Cadastro_Acoes!C:C)</f>
        <v>Energia Elétrica</v>
      </c>
      <c r="F83" s="10" t="s">
        <v>63</v>
      </c>
      <c r="G83" s="11">
        <f>_xlfn.XLOOKUP(A83,Historico_Cota!A:A,Historico_Cota!C:C)</f>
        <v>134290.53</v>
      </c>
      <c r="I83" s="1"/>
    </row>
    <row r="84" spans="1:11" x14ac:dyDescent="0.3">
      <c r="A84" s="9">
        <v>45742</v>
      </c>
      <c r="B84" s="10" t="s">
        <v>28</v>
      </c>
      <c r="C84" s="11">
        <v>15441.86</v>
      </c>
      <c r="D84" s="41">
        <f t="shared" si="9"/>
        <v>0.11498845078651489</v>
      </c>
      <c r="E84" s="10" t="str">
        <f>_xlfn.XLOOKUP(B84,Cadastro_Acoes!A:A,Cadastro_Acoes!C:C)</f>
        <v>Energia Elétrica</v>
      </c>
      <c r="F84" s="10" t="s">
        <v>63</v>
      </c>
      <c r="G84" s="11">
        <f>_xlfn.XLOOKUP(A84,Historico_Cota!A:A,Historico_Cota!C:C)</f>
        <v>134290.53</v>
      </c>
      <c r="I84" s="1"/>
    </row>
    <row r="85" spans="1:11" x14ac:dyDescent="0.3">
      <c r="A85" s="9">
        <v>45742</v>
      </c>
      <c r="B85" s="10" t="s">
        <v>29</v>
      </c>
      <c r="C85" s="11">
        <v>6962.55</v>
      </c>
      <c r="D85" s="41">
        <f t="shared" si="9"/>
        <v>5.1846917277041056E-2</v>
      </c>
      <c r="E85" s="10" t="str">
        <f>_xlfn.XLOOKUP(B85,Cadastro_Acoes!A:A,Cadastro_Acoes!C:C)</f>
        <v>Fundos de índice</v>
      </c>
      <c r="F85" s="10" t="s">
        <v>63</v>
      </c>
      <c r="G85" s="11">
        <f>_xlfn.XLOOKUP(A85,Historico_Cota!A:A,Historico_Cota!C:C)</f>
        <v>134290.53</v>
      </c>
      <c r="I85" s="1"/>
    </row>
    <row r="86" spans="1:11" x14ac:dyDescent="0.3">
      <c r="A86" s="9">
        <v>45742</v>
      </c>
      <c r="B86" s="10" t="s">
        <v>30</v>
      </c>
      <c r="C86" s="11">
        <v>17141.64</v>
      </c>
      <c r="D86" s="41">
        <f>C86/G86</f>
        <v>0.12764593303786945</v>
      </c>
      <c r="E86" s="10" t="str">
        <f>_xlfn.XLOOKUP(B86,Cadastro_Acoes!A:A,Cadastro_Acoes!C:C)</f>
        <v>Petróleo, Gás e Biocombustíveis</v>
      </c>
      <c r="F86" s="10" t="s">
        <v>63</v>
      </c>
      <c r="G86" s="11">
        <f>_xlfn.XLOOKUP(A86,Historico_Cota!A:A,Historico_Cota!C:C)</f>
        <v>134290.53</v>
      </c>
      <c r="I86" s="1"/>
    </row>
    <row r="87" spans="1:11" x14ac:dyDescent="0.3">
      <c r="A87" s="9">
        <v>45742</v>
      </c>
      <c r="B87" s="10" t="s">
        <v>31</v>
      </c>
      <c r="C87" s="11">
        <v>6582.09</v>
      </c>
      <c r="D87" s="41">
        <f t="shared" ref="D87:D89" si="10">C87/G87</f>
        <v>4.9013806111272332E-2</v>
      </c>
      <c r="E87" s="10" t="str">
        <f>_xlfn.XLOOKUP(B87,Cadastro_Acoes!A:A,Cadastro_Acoes!C:C)</f>
        <v>Fundos de índice</v>
      </c>
      <c r="F87" s="10" t="s">
        <v>63</v>
      </c>
      <c r="G87" s="11">
        <f>_xlfn.XLOOKUP(A87,Historico_Cota!A:A,Historico_Cota!C:C)</f>
        <v>134290.53</v>
      </c>
      <c r="I87" s="1"/>
    </row>
    <row r="88" spans="1:11" x14ac:dyDescent="0.3">
      <c r="A88" s="9">
        <v>45742</v>
      </c>
      <c r="B88" s="10" t="s">
        <v>32</v>
      </c>
      <c r="C88" s="11">
        <v>14710.95</v>
      </c>
      <c r="D88" s="41">
        <f t="shared" si="10"/>
        <v>0.10954569916434168</v>
      </c>
      <c r="E88" s="10" t="str">
        <f>_xlfn.XLOOKUP(B88,Cadastro_Acoes!A:A,Cadastro_Acoes!C:C)</f>
        <v>Mineração</v>
      </c>
      <c r="F88" s="10" t="s">
        <v>63</v>
      </c>
      <c r="G88" s="11">
        <f>_xlfn.XLOOKUP(A88,Historico_Cota!A:A,Historico_Cota!C:C)</f>
        <v>134290.53</v>
      </c>
      <c r="I88" s="1"/>
    </row>
    <row r="89" spans="1:11" x14ac:dyDescent="0.3">
      <c r="A89" s="12">
        <v>45742</v>
      </c>
      <c r="B89" s="13" t="s">
        <v>33</v>
      </c>
      <c r="C89" s="14">
        <v>8570.68</v>
      </c>
      <c r="D89" s="42">
        <f t="shared" si="10"/>
        <v>6.3821924003129638E-2</v>
      </c>
      <c r="E89" s="13" t="str">
        <f>_xlfn.XLOOKUP(B89,Cadastro_Acoes!A:A,Cadastro_Acoes!C:C)</f>
        <v>Caixa</v>
      </c>
      <c r="F89" s="13" t="s">
        <v>59</v>
      </c>
      <c r="G89" s="14">
        <f>_xlfn.XLOOKUP(A89,Historico_Cota!A:A,Historico_Cota!C:C)</f>
        <v>134290.53</v>
      </c>
      <c r="I89" s="1"/>
    </row>
    <row r="90" spans="1:11" x14ac:dyDescent="0.3">
      <c r="A90" s="9">
        <v>45747</v>
      </c>
      <c r="B90" s="10" t="s">
        <v>22</v>
      </c>
      <c r="C90" s="11">
        <v>16293.45</v>
      </c>
      <c r="D90" s="41">
        <f>C90/G90</f>
        <v>0.12337951955026367</v>
      </c>
      <c r="E90" s="10" t="str">
        <f>_xlfn.XLOOKUP(B90,Cadastro_Acoes!A:A,Cadastro_Acoes!C:C)</f>
        <v>Títulos Públicos</v>
      </c>
      <c r="F90" s="10" t="s">
        <v>23</v>
      </c>
      <c r="G90" s="11">
        <f>_xlfn.XLOOKUP(A90,Historico_Cota!A:A,Historico_Cota!C:C)</f>
        <v>132059.6</v>
      </c>
      <c r="H90"/>
      <c r="I90" s="90"/>
    </row>
    <row r="91" spans="1:11" x14ac:dyDescent="0.3">
      <c r="A91" s="9">
        <v>45747</v>
      </c>
      <c r="B91" s="10" t="s">
        <v>24</v>
      </c>
      <c r="C91" s="11">
        <v>14348.71</v>
      </c>
      <c r="D91" s="41">
        <f t="shared" ref="D91:D96" si="11">C91/G91</f>
        <v>0.10865328987820649</v>
      </c>
      <c r="E91" s="10" t="str">
        <f>_xlfn.XLOOKUP(B91,Cadastro_Acoes!A:A,Cadastro_Acoes!C:C)</f>
        <v>Intermediários Financeiros</v>
      </c>
      <c r="F91" s="10" t="s">
        <v>63</v>
      </c>
      <c r="G91" s="11">
        <f>_xlfn.XLOOKUP(A91,Historico_Cota!A:A,Historico_Cota!C:C)</f>
        <v>132059.6</v>
      </c>
      <c r="I91" s="1"/>
      <c r="J91" s="3"/>
      <c r="K91" s="1"/>
    </row>
    <row r="92" spans="1:11" x14ac:dyDescent="0.3">
      <c r="A92" s="9">
        <v>45747</v>
      </c>
      <c r="B92" s="10" t="s">
        <v>25</v>
      </c>
      <c r="C92" s="11">
        <v>7173.4</v>
      </c>
      <c r="D92" s="41">
        <f t="shared" si="11"/>
        <v>5.4319413355787834E-2</v>
      </c>
      <c r="E92" s="10" t="str">
        <f>_xlfn.XLOOKUP(B92,Cadastro_Acoes!A:A,Cadastro_Acoes!C:C)</f>
        <v>Previdência e Seguros</v>
      </c>
      <c r="F92" s="10" t="s">
        <v>63</v>
      </c>
      <c r="G92" s="11">
        <f>_xlfn.XLOOKUP(A92,Historico_Cota!A:A,Historico_Cota!C:C)</f>
        <v>132059.6</v>
      </c>
      <c r="I92" s="1"/>
      <c r="J92" s="3"/>
      <c r="K92" s="1"/>
    </row>
    <row r="93" spans="1:11" x14ac:dyDescent="0.3">
      <c r="A93" s="9">
        <v>45747</v>
      </c>
      <c r="B93" s="10" t="s">
        <v>26</v>
      </c>
      <c r="C93" s="11">
        <v>14423.6</v>
      </c>
      <c r="D93" s="41">
        <f t="shared" si="11"/>
        <v>0.10922038231222872</v>
      </c>
      <c r="E93" s="10" t="str">
        <f>_xlfn.XLOOKUP(B93,Cadastro_Acoes!A:A,Cadastro_Acoes!C:C)</f>
        <v>Intermediários Financeiros</v>
      </c>
      <c r="F93" s="10" t="s">
        <v>63</v>
      </c>
      <c r="G93" s="11">
        <f>_xlfn.XLOOKUP(A93,Historico_Cota!A:A,Historico_Cota!C:C)</f>
        <v>132059.6</v>
      </c>
      <c r="I93" s="1"/>
      <c r="J93" s="3"/>
      <c r="K93" s="1"/>
    </row>
    <row r="94" spans="1:11" x14ac:dyDescent="0.3">
      <c r="A94" s="9">
        <v>45747</v>
      </c>
      <c r="B94" s="10" t="s">
        <v>27</v>
      </c>
      <c r="C94" s="11">
        <v>11116.8</v>
      </c>
      <c r="D94" s="41">
        <f t="shared" si="11"/>
        <v>8.4180173194527308E-2</v>
      </c>
      <c r="E94" s="10" t="str">
        <f>_xlfn.XLOOKUP(B94,Cadastro_Acoes!A:A,Cadastro_Acoes!C:C)</f>
        <v>Energia Elétrica</v>
      </c>
      <c r="F94" s="10" t="s">
        <v>63</v>
      </c>
      <c r="G94" s="11">
        <f>_xlfn.XLOOKUP(A94,Historico_Cota!A:A,Historico_Cota!C:C)</f>
        <v>132059.6</v>
      </c>
      <c r="I94" s="1"/>
      <c r="J94" s="3"/>
      <c r="K94" s="1"/>
    </row>
    <row r="95" spans="1:11" x14ac:dyDescent="0.3">
      <c r="A95" s="9">
        <v>45747</v>
      </c>
      <c r="B95" s="10" t="s">
        <v>28</v>
      </c>
      <c r="C95" s="11">
        <v>15236.06</v>
      </c>
      <c r="D95" s="41">
        <f t="shared" si="11"/>
        <v>0.11537260449069965</v>
      </c>
      <c r="E95" s="10" t="str">
        <f>_xlfn.XLOOKUP(B95,Cadastro_Acoes!A:A,Cadastro_Acoes!C:C)</f>
        <v>Energia Elétrica</v>
      </c>
      <c r="F95" s="10" t="s">
        <v>63</v>
      </c>
      <c r="G95" s="11">
        <f>_xlfn.XLOOKUP(A95,Historico_Cota!A:A,Historico_Cota!C:C)</f>
        <v>132059.6</v>
      </c>
      <c r="I95" s="1"/>
      <c r="J95" s="3"/>
      <c r="K95" s="1"/>
    </row>
    <row r="96" spans="1:11" x14ac:dyDescent="0.3">
      <c r="A96" s="9">
        <v>45747</v>
      </c>
      <c r="B96" s="10" t="s">
        <v>29</v>
      </c>
      <c r="C96" s="11">
        <v>6815.3</v>
      </c>
      <c r="D96" s="41">
        <f t="shared" si="11"/>
        <v>5.1607758920972045E-2</v>
      </c>
      <c r="E96" s="10" t="str">
        <f>_xlfn.XLOOKUP(B96,Cadastro_Acoes!A:A,Cadastro_Acoes!C:C)</f>
        <v>Fundos de índice</v>
      </c>
      <c r="F96" s="10" t="s">
        <v>63</v>
      </c>
      <c r="G96" s="11">
        <f>_xlfn.XLOOKUP(A96,Historico_Cota!A:A,Historico_Cota!C:C)</f>
        <v>132059.6</v>
      </c>
      <c r="I96" s="1"/>
      <c r="J96" s="3"/>
      <c r="K96" s="1"/>
    </row>
    <row r="97" spans="1:11" x14ac:dyDescent="0.3">
      <c r="A97" s="9">
        <v>45747</v>
      </c>
      <c r="B97" s="10" t="s">
        <v>30</v>
      </c>
      <c r="C97" s="11">
        <v>16795.599999999999</v>
      </c>
      <c r="D97" s="41">
        <f>C97/G97</f>
        <v>0.12718196935323139</v>
      </c>
      <c r="E97" s="10" t="str">
        <f>_xlfn.XLOOKUP(B97,Cadastro_Acoes!A:A,Cadastro_Acoes!C:C)</f>
        <v>Petróleo, Gás e Biocombustíveis</v>
      </c>
      <c r="F97" s="10" t="s">
        <v>63</v>
      </c>
      <c r="G97" s="11">
        <f>_xlfn.XLOOKUP(A97,Historico_Cota!A:A,Historico_Cota!C:C)</f>
        <v>132059.6</v>
      </c>
      <c r="I97" s="1"/>
      <c r="J97" s="3"/>
      <c r="K97" s="1"/>
    </row>
    <row r="98" spans="1:11" x14ac:dyDescent="0.3">
      <c r="A98" s="9">
        <v>45747</v>
      </c>
      <c r="B98" s="10" t="s">
        <v>31</v>
      </c>
      <c r="C98" s="11">
        <v>6319.35</v>
      </c>
      <c r="D98" s="41">
        <f t="shared" ref="D98:D100" si="12">C98/G98</f>
        <v>4.7852257617015351E-2</v>
      </c>
      <c r="E98" s="10" t="str">
        <f>_xlfn.XLOOKUP(B98,Cadastro_Acoes!A:A,Cadastro_Acoes!C:C)</f>
        <v>Fundos de índice</v>
      </c>
      <c r="F98" s="10" t="s">
        <v>63</v>
      </c>
      <c r="G98" s="11">
        <f>_xlfn.XLOOKUP(A98,Historico_Cota!A:A,Historico_Cota!C:C)</f>
        <v>132059.6</v>
      </c>
      <c r="I98" s="1"/>
      <c r="J98" s="3"/>
      <c r="K98" s="1"/>
    </row>
    <row r="99" spans="1:11" x14ac:dyDescent="0.3">
      <c r="A99" s="9">
        <v>45747</v>
      </c>
      <c r="B99" s="10" t="s">
        <v>32</v>
      </c>
      <c r="C99" s="11">
        <v>14458.5</v>
      </c>
      <c r="D99" s="41">
        <f t="shared" si="12"/>
        <v>0.10948465692762964</v>
      </c>
      <c r="E99" s="10" t="str">
        <f>_xlfn.XLOOKUP(B99,Cadastro_Acoes!A:A,Cadastro_Acoes!C:C)</f>
        <v>Mineração</v>
      </c>
      <c r="F99" s="10" t="s">
        <v>63</v>
      </c>
      <c r="G99" s="11">
        <f>_xlfn.XLOOKUP(A99,Historico_Cota!A:A,Historico_Cota!C:C)</f>
        <v>132059.6</v>
      </c>
      <c r="I99" s="1"/>
      <c r="J99" s="3"/>
      <c r="K99" s="1"/>
    </row>
    <row r="100" spans="1:11" x14ac:dyDescent="0.3">
      <c r="A100" s="12">
        <v>45747</v>
      </c>
      <c r="B100" s="13" t="s">
        <v>33</v>
      </c>
      <c r="C100" s="14">
        <v>8570.6200000000008</v>
      </c>
      <c r="D100" s="42">
        <f t="shared" si="12"/>
        <v>6.4899636224856047E-2</v>
      </c>
      <c r="E100" s="13" t="str">
        <f>_xlfn.XLOOKUP(B100,Cadastro_Acoes!A:A,Cadastro_Acoes!C:C)</f>
        <v>Caixa</v>
      </c>
      <c r="F100" s="13" t="s">
        <v>59</v>
      </c>
      <c r="G100" s="14">
        <f>_xlfn.XLOOKUP(A100,Historico_Cota!A:A,Historico_Cota!C:C)</f>
        <v>132059.6</v>
      </c>
      <c r="I100" s="1"/>
      <c r="J100" s="3"/>
      <c r="K100" s="1"/>
    </row>
    <row r="101" spans="1:11" x14ac:dyDescent="0.3">
      <c r="A101" s="9">
        <v>45755</v>
      </c>
      <c r="B101" s="10" t="s">
        <v>22</v>
      </c>
      <c r="C101" s="11">
        <v>16345.53</v>
      </c>
      <c r="D101" s="41">
        <f>C101/G101</f>
        <v>0.14194176816107529</v>
      </c>
      <c r="E101" s="10" t="str">
        <f>_xlfn.XLOOKUP(B101,Cadastro_Acoes!A:A,Cadastro_Acoes!C:C)</f>
        <v>Títulos Públicos</v>
      </c>
      <c r="F101" s="10" t="s">
        <v>23</v>
      </c>
      <c r="G101" s="11">
        <f>_xlfn.XLOOKUP(A101,Historico_Cota!A:A,Historico_Cota!C:C)</f>
        <v>115156.59</v>
      </c>
      <c r="H101"/>
      <c r="I101" s="90"/>
    </row>
    <row r="102" spans="1:11" x14ac:dyDescent="0.3">
      <c r="A102" s="9">
        <v>45755</v>
      </c>
      <c r="B102" s="10" t="s">
        <v>24</v>
      </c>
      <c r="C102" s="11">
        <v>14063.67</v>
      </c>
      <c r="D102" s="41">
        <f t="shared" ref="D102:D107" si="13">C102/G102</f>
        <v>0.12212648880971554</v>
      </c>
      <c r="E102" s="10" t="str">
        <f>_xlfn.XLOOKUP(B102,Cadastro_Acoes!A:A,Cadastro_Acoes!C:C)</f>
        <v>Intermediários Financeiros</v>
      </c>
      <c r="F102" s="10" t="s">
        <v>63</v>
      </c>
      <c r="G102" s="11">
        <f>_xlfn.XLOOKUP(A102,Historico_Cota!A:A,Historico_Cota!C:C)</f>
        <v>115156.59</v>
      </c>
      <c r="I102" s="1"/>
      <c r="J102" s="1"/>
    </row>
    <row r="103" spans="1:11" x14ac:dyDescent="0.3">
      <c r="A103" s="9">
        <v>45755</v>
      </c>
      <c r="B103" s="10" t="s">
        <v>25</v>
      </c>
      <c r="C103" s="11">
        <v>7200.1</v>
      </c>
      <c r="D103" s="41">
        <f t="shared" si="13"/>
        <v>6.2524428693138623E-2</v>
      </c>
      <c r="E103" s="10" t="str">
        <f>_xlfn.XLOOKUP(B103,Cadastro_Acoes!A:A,Cadastro_Acoes!C:C)</f>
        <v>Previdência e Seguros</v>
      </c>
      <c r="F103" s="10" t="s">
        <v>63</v>
      </c>
      <c r="G103" s="11">
        <f>_xlfn.XLOOKUP(A103,Historico_Cota!A:A,Historico_Cota!C:C)</f>
        <v>115156.59</v>
      </c>
      <c r="I103" s="1"/>
      <c r="J103" s="1"/>
    </row>
    <row r="104" spans="1:11" x14ac:dyDescent="0.3">
      <c r="A104" s="9">
        <v>45755</v>
      </c>
      <c r="B104" s="10" t="s">
        <v>26</v>
      </c>
      <c r="C104" s="11">
        <v>14380.8</v>
      </c>
      <c r="D104" s="41">
        <f t="shared" si="13"/>
        <v>0.12488039112655211</v>
      </c>
      <c r="E104" s="10" t="str">
        <f>_xlfn.XLOOKUP(B104,Cadastro_Acoes!A:A,Cadastro_Acoes!C:C)</f>
        <v>Intermediários Financeiros</v>
      </c>
      <c r="F104" s="10" t="s">
        <v>63</v>
      </c>
      <c r="G104" s="11">
        <f>_xlfn.XLOOKUP(A104,Historico_Cota!A:A,Historico_Cota!C:C)</f>
        <v>115156.59</v>
      </c>
      <c r="I104" s="1"/>
      <c r="J104" s="1"/>
    </row>
    <row r="105" spans="1:11" x14ac:dyDescent="0.3">
      <c r="A105" s="9">
        <v>45755</v>
      </c>
      <c r="B105" s="10" t="s">
        <v>27</v>
      </c>
      <c r="C105" s="11">
        <v>11246.4</v>
      </c>
      <c r="D105" s="41">
        <f t="shared" si="13"/>
        <v>9.766180120477691E-2</v>
      </c>
      <c r="E105" s="10" t="str">
        <f>_xlfn.XLOOKUP(B105,Cadastro_Acoes!A:A,Cadastro_Acoes!C:C)</f>
        <v>Energia Elétrica</v>
      </c>
      <c r="F105" s="10" t="s">
        <v>63</v>
      </c>
      <c r="G105" s="11">
        <f>_xlfn.XLOOKUP(A105,Historico_Cota!A:A,Historico_Cota!C:C)</f>
        <v>115156.59</v>
      </c>
      <c r="I105" s="1"/>
      <c r="J105" s="1"/>
    </row>
    <row r="106" spans="1:11" x14ac:dyDescent="0.3">
      <c r="A106" s="9">
        <v>45755</v>
      </c>
      <c r="B106" s="10" t="s">
        <v>28</v>
      </c>
      <c r="C106" s="11">
        <v>15043.98</v>
      </c>
      <c r="D106" s="41">
        <f t="shared" si="13"/>
        <v>0.13063933206080519</v>
      </c>
      <c r="E106" s="10" t="str">
        <f>_xlfn.XLOOKUP(B106,Cadastro_Acoes!A:A,Cadastro_Acoes!C:C)</f>
        <v>Energia Elétrica</v>
      </c>
      <c r="F106" s="10" t="s">
        <v>63</v>
      </c>
      <c r="G106" s="11">
        <f>_xlfn.XLOOKUP(A106,Historico_Cota!A:A,Historico_Cota!C:C)</f>
        <v>115156.59</v>
      </c>
      <c r="I106" s="1"/>
      <c r="J106" s="1"/>
    </row>
    <row r="107" spans="1:11" x14ac:dyDescent="0.3">
      <c r="A107" s="9">
        <v>45755</v>
      </c>
      <c r="B107" s="10" t="s">
        <v>29</v>
      </c>
      <c r="C107" s="11">
        <v>6353.6</v>
      </c>
      <c r="D107" s="41">
        <f t="shared" si="13"/>
        <v>5.5173568442761292E-2</v>
      </c>
      <c r="E107" s="10" t="str">
        <f>_xlfn.XLOOKUP(B107,Cadastro_Acoes!A:A,Cadastro_Acoes!C:C)</f>
        <v>Fundos de índice</v>
      </c>
      <c r="F107" s="10" t="s">
        <v>63</v>
      </c>
      <c r="G107" s="11">
        <f>_xlfn.XLOOKUP(A107,Historico_Cota!A:A,Historico_Cota!C:C)</f>
        <v>115156.59</v>
      </c>
      <c r="I107" s="1"/>
      <c r="J107" s="1"/>
    </row>
    <row r="108" spans="1:11" x14ac:dyDescent="0.3">
      <c r="A108" s="9">
        <v>45755</v>
      </c>
      <c r="B108" s="10" t="s">
        <v>30</v>
      </c>
      <c r="C108" s="11">
        <v>14272.04</v>
      </c>
      <c r="D108" s="41">
        <f>C108/G108</f>
        <v>0.12393593801275291</v>
      </c>
      <c r="E108" s="10" t="str">
        <f>_xlfn.XLOOKUP(B108,Cadastro_Acoes!A:A,Cadastro_Acoes!C:C)</f>
        <v>Petróleo, Gás e Biocombustíveis</v>
      </c>
      <c r="F108" s="10" t="s">
        <v>63</v>
      </c>
      <c r="G108" s="11">
        <f>_xlfn.XLOOKUP(A108,Historico_Cota!A:A,Historico_Cota!C:C)</f>
        <v>115156.59</v>
      </c>
      <c r="I108" s="1"/>
      <c r="J108" s="1"/>
    </row>
    <row r="109" spans="1:11" x14ac:dyDescent="0.3">
      <c r="A109" s="9">
        <v>45755</v>
      </c>
      <c r="B109" s="10" t="s">
        <v>31</v>
      </c>
      <c r="C109" s="11">
        <v>5744.04</v>
      </c>
      <c r="D109" s="41">
        <f t="shared" ref="D109:D111" si="14">C109/G109</f>
        <v>4.9880254356263934E-2</v>
      </c>
      <c r="E109" s="10" t="str">
        <f>_xlfn.XLOOKUP(B109,Cadastro_Acoes!A:A,Cadastro_Acoes!C:C)</f>
        <v>Fundos de índice</v>
      </c>
      <c r="F109" s="10" t="s">
        <v>63</v>
      </c>
      <c r="G109" s="11">
        <f>_xlfn.XLOOKUP(A109,Historico_Cota!A:A,Historico_Cota!C:C)</f>
        <v>115156.59</v>
      </c>
      <c r="I109" s="1"/>
      <c r="J109" s="1"/>
    </row>
    <row r="110" spans="1:11" x14ac:dyDescent="0.3">
      <c r="A110" s="9">
        <v>45755</v>
      </c>
      <c r="B110" s="10" t="s">
        <v>32</v>
      </c>
      <c r="C110" s="11">
        <v>12546</v>
      </c>
      <c r="D110" s="41">
        <f t="shared" si="14"/>
        <v>0.10894730384079626</v>
      </c>
      <c r="E110" s="10" t="str">
        <f>_xlfn.XLOOKUP(B110,Cadastro_Acoes!A:A,Cadastro_Acoes!C:C)</f>
        <v>Mineração</v>
      </c>
      <c r="F110" s="10" t="s">
        <v>63</v>
      </c>
      <c r="G110" s="11">
        <f>_xlfn.XLOOKUP(A110,Historico_Cota!A:A,Historico_Cota!C:C)</f>
        <v>115156.59</v>
      </c>
      <c r="I110" s="1"/>
      <c r="J110" s="1"/>
    </row>
    <row r="111" spans="1:11" x14ac:dyDescent="0.3">
      <c r="A111" s="12">
        <v>45755</v>
      </c>
      <c r="B111" s="13" t="s">
        <v>33</v>
      </c>
      <c r="C111" s="14">
        <v>8372.31</v>
      </c>
      <c r="D111" s="42">
        <f t="shared" si="14"/>
        <v>7.2703698503055705E-2</v>
      </c>
      <c r="E111" s="13" t="str">
        <f>_xlfn.XLOOKUP(B111,Cadastro_Acoes!A:A,Cadastro_Acoes!C:C)</f>
        <v>Caixa</v>
      </c>
      <c r="F111" s="13" t="s">
        <v>59</v>
      </c>
      <c r="G111" s="14">
        <f>_xlfn.XLOOKUP(A111,Historico_Cota!A:A,Historico_Cota!C:C)</f>
        <v>115156.59</v>
      </c>
      <c r="H111"/>
    </row>
    <row r="112" spans="1:11" x14ac:dyDescent="0.3">
      <c r="A112" s="9">
        <v>45761</v>
      </c>
      <c r="B112" s="10" t="s">
        <v>24</v>
      </c>
      <c r="C112" s="11">
        <v>14287.63</v>
      </c>
      <c r="D112" s="41">
        <f t="shared" ref="D112:D117" si="15">C112/G112</f>
        <v>0.12043989010418386</v>
      </c>
      <c r="E112" s="10" t="str">
        <f>_xlfn.XLOOKUP(B112,Cadastro_Acoes!A:A,Cadastro_Acoes!C:C)</f>
        <v>Intermediários Financeiros</v>
      </c>
      <c r="F112" s="10" t="s">
        <v>63</v>
      </c>
      <c r="G112" s="11">
        <f>_xlfn.XLOOKUP(A112,Historico_Cota!A:A,Historico_Cota!C:C)</f>
        <v>118628.72</v>
      </c>
      <c r="H112"/>
    </row>
    <row r="113" spans="1:7" customFormat="1" x14ac:dyDescent="0.3">
      <c r="A113" s="9">
        <v>45761</v>
      </c>
      <c r="B113" s="10" t="s">
        <v>25</v>
      </c>
      <c r="C113" s="11">
        <v>7171.62</v>
      </c>
      <c r="D113" s="41">
        <f t="shared" si="15"/>
        <v>6.0454331800933195E-2</v>
      </c>
      <c r="E113" s="10" t="str">
        <f>_xlfn.XLOOKUP(B113,Cadastro_Acoes!A:A,Cadastro_Acoes!C:C)</f>
        <v>Previdência e Seguros</v>
      </c>
      <c r="F113" s="10" t="s">
        <v>63</v>
      </c>
      <c r="G113" s="11">
        <f>_xlfn.XLOOKUP(A113,Historico_Cota!A:A,Historico_Cota!C:C)</f>
        <v>118628.72</v>
      </c>
    </row>
    <row r="114" spans="1:7" customFormat="1" x14ac:dyDescent="0.3">
      <c r="A114" s="9">
        <v>45761</v>
      </c>
      <c r="B114" s="10" t="s">
        <v>26</v>
      </c>
      <c r="C114" s="11">
        <v>14714.64</v>
      </c>
      <c r="D114" s="41">
        <f t="shared" si="15"/>
        <v>0.12403944002767626</v>
      </c>
      <c r="E114" s="10" t="str">
        <f>_xlfn.XLOOKUP(B114,Cadastro_Acoes!A:A,Cadastro_Acoes!C:C)</f>
        <v>Intermediários Financeiros</v>
      </c>
      <c r="F114" s="10" t="s">
        <v>63</v>
      </c>
      <c r="G114" s="11">
        <f>_xlfn.XLOOKUP(A114,Historico_Cota!A:A,Historico_Cota!C:C)</f>
        <v>118628.72</v>
      </c>
    </row>
    <row r="115" spans="1:7" customFormat="1" x14ac:dyDescent="0.3">
      <c r="A115" s="9">
        <v>45761</v>
      </c>
      <c r="B115" s="10" t="s">
        <v>27</v>
      </c>
      <c r="C115" s="11">
        <v>11445.12</v>
      </c>
      <c r="D115" s="41">
        <f t="shared" si="15"/>
        <v>9.6478491886281839E-2</v>
      </c>
      <c r="E115" s="10" t="str">
        <f>_xlfn.XLOOKUP(B115,Cadastro_Acoes!A:A,Cadastro_Acoes!C:C)</f>
        <v>Energia Elétrica</v>
      </c>
      <c r="F115" s="10" t="s">
        <v>63</v>
      </c>
      <c r="G115" s="11">
        <f>_xlfn.XLOOKUP(A115,Historico_Cota!A:A,Historico_Cota!C:C)</f>
        <v>118628.72</v>
      </c>
    </row>
    <row r="116" spans="1:7" customFormat="1" x14ac:dyDescent="0.3">
      <c r="A116" s="9">
        <v>45761</v>
      </c>
      <c r="B116" s="10" t="s">
        <v>28</v>
      </c>
      <c r="C116" s="11">
        <v>15627.08</v>
      </c>
      <c r="D116" s="41">
        <f t="shared" si="15"/>
        <v>0.13173100072225344</v>
      </c>
      <c r="E116" s="10" t="str">
        <f>_xlfn.XLOOKUP(B116,Cadastro_Acoes!A:A,Cadastro_Acoes!C:C)</f>
        <v>Energia Elétrica</v>
      </c>
      <c r="F116" s="10" t="s">
        <v>63</v>
      </c>
      <c r="G116" s="11">
        <f>_xlfn.XLOOKUP(A116,Historico_Cota!A:A,Historico_Cota!C:C)</f>
        <v>118628.72</v>
      </c>
    </row>
    <row r="117" spans="1:7" customFormat="1" x14ac:dyDescent="0.3">
      <c r="A117" s="9">
        <v>45761</v>
      </c>
      <c r="B117" s="10" t="s">
        <v>29</v>
      </c>
      <c r="C117" s="11">
        <v>6734.55</v>
      </c>
      <c r="D117" s="41">
        <f t="shared" si="15"/>
        <v>5.6769979478831098E-2</v>
      </c>
      <c r="E117" s="10" t="str">
        <f>_xlfn.XLOOKUP(B117,Cadastro_Acoes!A:A,Cadastro_Acoes!C:C)</f>
        <v>Fundos de índice</v>
      </c>
      <c r="F117" s="10" t="s">
        <v>63</v>
      </c>
      <c r="G117" s="11">
        <f>_xlfn.XLOOKUP(A117,Historico_Cota!A:A,Historico_Cota!C:C)</f>
        <v>118628.72</v>
      </c>
    </row>
    <row r="118" spans="1:7" customFormat="1" x14ac:dyDescent="0.3">
      <c r="A118" s="9">
        <v>45761</v>
      </c>
      <c r="B118" s="10" t="s">
        <v>30</v>
      </c>
      <c r="C118" s="11">
        <v>14272.04</v>
      </c>
      <c r="D118" s="41">
        <f>C118/G118</f>
        <v>0.12030847167532449</v>
      </c>
      <c r="E118" s="10" t="str">
        <f>_xlfn.XLOOKUP(B118,Cadastro_Acoes!A:A,Cadastro_Acoes!C:C)</f>
        <v>Petróleo, Gás e Biocombustíveis</v>
      </c>
      <c r="F118" s="10" t="s">
        <v>63</v>
      </c>
      <c r="G118" s="11">
        <f>_xlfn.XLOOKUP(A118,Historico_Cota!A:A,Historico_Cota!C:C)</f>
        <v>118628.72</v>
      </c>
    </row>
    <row r="119" spans="1:7" customFormat="1" x14ac:dyDescent="0.3">
      <c r="A119" s="9">
        <v>45761</v>
      </c>
      <c r="B119" s="10" t="s">
        <v>31</v>
      </c>
      <c r="C119" s="11">
        <v>6237.81</v>
      </c>
      <c r="D119" s="41">
        <f t="shared" ref="D119:D127" si="16">C119/G119</f>
        <v>5.2582629231774571E-2</v>
      </c>
      <c r="E119" s="10" t="str">
        <f>_xlfn.XLOOKUP(B119,Cadastro_Acoes!A:A,Cadastro_Acoes!C:C)</f>
        <v>Fundos de índice</v>
      </c>
      <c r="F119" s="10" t="s">
        <v>63</v>
      </c>
      <c r="G119" s="11">
        <f>_xlfn.XLOOKUP(A119,Historico_Cota!A:A,Historico_Cota!C:C)</f>
        <v>118628.72</v>
      </c>
    </row>
    <row r="120" spans="1:7" customFormat="1" x14ac:dyDescent="0.3">
      <c r="A120" s="9">
        <v>45761</v>
      </c>
      <c r="B120" s="10" t="s">
        <v>32</v>
      </c>
      <c r="C120" s="11">
        <v>13861.8</v>
      </c>
      <c r="D120" s="41">
        <f t="shared" si="16"/>
        <v>0.11685028718172125</v>
      </c>
      <c r="E120" s="10" t="str">
        <f>_xlfn.XLOOKUP(B120,Cadastro_Acoes!A:A,Cadastro_Acoes!C:C)</f>
        <v>Mineração</v>
      </c>
      <c r="F120" s="10" t="s">
        <v>63</v>
      </c>
      <c r="G120" s="11">
        <f>_xlfn.XLOOKUP(A120,Historico_Cota!A:A,Historico_Cota!C:C)</f>
        <v>118628.72</v>
      </c>
    </row>
    <row r="121" spans="1:7" customFormat="1" x14ac:dyDescent="0.3">
      <c r="A121" s="12">
        <v>45761</v>
      </c>
      <c r="B121" s="13" t="s">
        <v>33</v>
      </c>
      <c r="C121" s="14">
        <v>13668.29</v>
      </c>
      <c r="D121" s="42">
        <f t="shared" si="16"/>
        <v>0.11521906330945829</v>
      </c>
      <c r="E121" s="13" t="str">
        <f>_xlfn.XLOOKUP(B121,Cadastro_Acoes!A:A,Cadastro_Acoes!C:C)</f>
        <v>Caixa</v>
      </c>
      <c r="F121" s="13" t="s">
        <v>59</v>
      </c>
      <c r="G121" s="14">
        <f>_xlfn.XLOOKUP(A121,Historico_Cota!A:A,Historico_Cota!C:C)</f>
        <v>118628.72</v>
      </c>
    </row>
    <row r="122" spans="1:7" customFormat="1" x14ac:dyDescent="0.3">
      <c r="A122" s="9">
        <v>45764</v>
      </c>
      <c r="B122" s="10" t="s">
        <v>24</v>
      </c>
      <c r="C122" s="11">
        <v>13961.87</v>
      </c>
      <c r="D122" s="41">
        <f t="shared" si="16"/>
        <v>0.1184455007342468</v>
      </c>
      <c r="E122" s="10" t="str">
        <f>_xlfn.XLOOKUP(B122,Cadastro_Acoes!A:A,Cadastro_Acoes!C:C)</f>
        <v>Intermediários Financeiros</v>
      </c>
      <c r="F122" s="10" t="s">
        <v>63</v>
      </c>
      <c r="G122" s="11">
        <f>_xlfn.XLOOKUP(A122,Historico_Cota!A:A,Historico_Cota!C:C)</f>
        <v>117875.9</v>
      </c>
    </row>
    <row r="123" spans="1:7" customFormat="1" x14ac:dyDescent="0.3">
      <c r="A123" s="9">
        <v>45764</v>
      </c>
      <c r="B123" s="10" t="s">
        <v>25</v>
      </c>
      <c r="C123" s="11">
        <v>7251.72</v>
      </c>
      <c r="D123" s="41">
        <f t="shared" si="16"/>
        <v>6.1519954460581006E-2</v>
      </c>
      <c r="E123" s="10" t="str">
        <f>_xlfn.XLOOKUP(B123,Cadastro_Acoes!A:A,Cadastro_Acoes!C:C)</f>
        <v>Previdência e Seguros</v>
      </c>
      <c r="F123" s="10" t="s">
        <v>63</v>
      </c>
      <c r="G123" s="11">
        <f>_xlfn.XLOOKUP(A123,Historico_Cota!A:A,Historico_Cota!C:C)</f>
        <v>117875.9</v>
      </c>
    </row>
    <row r="124" spans="1:7" customFormat="1" x14ac:dyDescent="0.3">
      <c r="A124" s="9">
        <v>45764</v>
      </c>
      <c r="B124" s="10" t="s">
        <v>26</v>
      </c>
      <c r="C124" s="11">
        <v>14864.44</v>
      </c>
      <c r="D124" s="41">
        <f t="shared" si="16"/>
        <v>0.12610245181585042</v>
      </c>
      <c r="E124" s="10" t="str">
        <f>_xlfn.XLOOKUP(B124,Cadastro_Acoes!A:A,Cadastro_Acoes!C:C)</f>
        <v>Intermediários Financeiros</v>
      </c>
      <c r="F124" s="10" t="s">
        <v>63</v>
      </c>
      <c r="G124" s="11">
        <f>_xlfn.XLOOKUP(A124,Historico_Cota!A:A,Historico_Cota!C:C)</f>
        <v>117875.9</v>
      </c>
    </row>
    <row r="125" spans="1:7" customFormat="1" x14ac:dyDescent="0.3">
      <c r="A125" s="9">
        <v>45764</v>
      </c>
      <c r="B125" s="10" t="s">
        <v>27</v>
      </c>
      <c r="C125" s="11">
        <v>11315.52</v>
      </c>
      <c r="D125" s="41">
        <f t="shared" si="16"/>
        <v>9.5995194946549733E-2</v>
      </c>
      <c r="E125" s="10" t="str">
        <f>_xlfn.XLOOKUP(B125,Cadastro_Acoes!A:A,Cadastro_Acoes!C:C)</f>
        <v>Energia Elétrica</v>
      </c>
      <c r="F125" s="10" t="s">
        <v>63</v>
      </c>
      <c r="G125" s="11">
        <f>_xlfn.XLOOKUP(A125,Historico_Cota!A:A,Historico_Cota!C:C)</f>
        <v>117875.9</v>
      </c>
    </row>
    <row r="126" spans="1:7" customFormat="1" x14ac:dyDescent="0.3">
      <c r="A126" s="9">
        <v>45764</v>
      </c>
      <c r="B126" s="10" t="s">
        <v>28</v>
      </c>
      <c r="C126" s="11">
        <v>15640.8</v>
      </c>
      <c r="D126" s="41">
        <f t="shared" si="16"/>
        <v>0.13268870057407833</v>
      </c>
      <c r="E126" s="10" t="str">
        <f>_xlfn.XLOOKUP(B126,Cadastro_Acoes!A:A,Cadastro_Acoes!C:C)</f>
        <v>Energia Elétrica</v>
      </c>
      <c r="F126" s="10" t="s">
        <v>63</v>
      </c>
      <c r="G126" s="11">
        <f>_xlfn.XLOOKUP(A126,Historico_Cota!A:A,Historico_Cota!C:C)</f>
        <v>117875.9</v>
      </c>
    </row>
    <row r="127" spans="1:7" customFormat="1" x14ac:dyDescent="0.3">
      <c r="A127" s="9">
        <v>45764</v>
      </c>
      <c r="B127" s="10" t="s">
        <v>29</v>
      </c>
      <c r="C127" s="11">
        <v>6531.25</v>
      </c>
      <c r="D127" s="41">
        <f t="shared" si="16"/>
        <v>5.5407848423638759E-2</v>
      </c>
      <c r="E127" s="10" t="str">
        <f>_xlfn.XLOOKUP(B127,Cadastro_Acoes!A:A,Cadastro_Acoes!C:C)</f>
        <v>Fundos de índice</v>
      </c>
      <c r="F127" s="10" t="s">
        <v>63</v>
      </c>
      <c r="G127" s="11">
        <f>_xlfn.XLOOKUP(A127,Historico_Cota!A:A,Historico_Cota!C:C)</f>
        <v>117875.9</v>
      </c>
    </row>
    <row r="128" spans="1:7" customFormat="1" x14ac:dyDescent="0.3">
      <c r="A128" s="9">
        <v>45764</v>
      </c>
      <c r="B128" s="10" t="s">
        <v>30</v>
      </c>
      <c r="C128" s="11">
        <v>14584.32</v>
      </c>
      <c r="D128" s="41">
        <f>C128/G128</f>
        <v>0.12372605426554538</v>
      </c>
      <c r="E128" s="10" t="str">
        <f>_xlfn.XLOOKUP(B128,Cadastro_Acoes!A:A,Cadastro_Acoes!C:C)</f>
        <v>Petróleo, Gás e Biocombustíveis</v>
      </c>
      <c r="F128" s="10" t="s">
        <v>63</v>
      </c>
      <c r="G128" s="11">
        <f>_xlfn.XLOOKUP(A128,Historico_Cota!A:A,Historico_Cota!C:C)</f>
        <v>117875.9</v>
      </c>
    </row>
    <row r="129" spans="1:10" x14ac:dyDescent="0.3">
      <c r="A129" s="9">
        <v>45764</v>
      </c>
      <c r="B129" s="10" t="s">
        <v>31</v>
      </c>
      <c r="C129" s="11">
        <v>5993.19</v>
      </c>
      <c r="D129" s="41">
        <f t="shared" ref="D129:D137" si="17">C129/G129</f>
        <v>5.0843217315838095E-2</v>
      </c>
      <c r="E129" s="10" t="str">
        <f>_xlfn.XLOOKUP(B129,Cadastro_Acoes!A:A,Cadastro_Acoes!C:C)</f>
        <v>Fundos de índice</v>
      </c>
      <c r="F129" s="10" t="s">
        <v>63</v>
      </c>
      <c r="G129" s="11">
        <f>_xlfn.XLOOKUP(A129,Historico_Cota!A:A,Historico_Cota!C:C)</f>
        <v>117875.9</v>
      </c>
      <c r="H129"/>
    </row>
    <row r="130" spans="1:10" x14ac:dyDescent="0.3">
      <c r="A130" s="9">
        <v>45764</v>
      </c>
      <c r="B130" s="10" t="s">
        <v>32</v>
      </c>
      <c r="C130" s="11">
        <v>13484.4</v>
      </c>
      <c r="D130" s="41">
        <f t="shared" si="17"/>
        <v>0.11439488478985102</v>
      </c>
      <c r="E130" s="10" t="str">
        <f>_xlfn.XLOOKUP(B130,Cadastro_Acoes!A:A,Cadastro_Acoes!C:C)</f>
        <v>Mineração</v>
      </c>
      <c r="F130" s="10" t="s">
        <v>63</v>
      </c>
      <c r="G130" s="11">
        <f>_xlfn.XLOOKUP(A130,Historico_Cota!A:A,Historico_Cota!C:C)</f>
        <v>117875.9</v>
      </c>
      <c r="H130"/>
    </row>
    <row r="131" spans="1:10" x14ac:dyDescent="0.3">
      <c r="A131" s="12">
        <v>45764</v>
      </c>
      <c r="B131" s="13" t="s">
        <v>33</v>
      </c>
      <c r="C131" s="14">
        <v>13668.29</v>
      </c>
      <c r="D131" s="42">
        <f t="shared" si="17"/>
        <v>0.115954915296511</v>
      </c>
      <c r="E131" s="13" t="str">
        <f>_xlfn.XLOOKUP(B131,Cadastro_Acoes!A:A,Cadastro_Acoes!C:C)</f>
        <v>Caixa</v>
      </c>
      <c r="F131" s="13" t="s">
        <v>59</v>
      </c>
      <c r="G131" s="14">
        <f>_xlfn.XLOOKUP(A131,Historico_Cota!A:A,Historico_Cota!C:C)</f>
        <v>117875.9</v>
      </c>
      <c r="H131"/>
    </row>
    <row r="132" spans="1:10" x14ac:dyDescent="0.3">
      <c r="A132" s="9">
        <v>45777</v>
      </c>
      <c r="B132" s="10" t="s">
        <v>24</v>
      </c>
      <c r="C132" s="11">
        <v>14725.37</v>
      </c>
      <c r="D132" s="41">
        <f t="shared" si="17"/>
        <v>0.12051533599936294</v>
      </c>
      <c r="E132" s="10" t="str">
        <f>_xlfn.XLOOKUP(B132,Cadastro_Acoes!A:A,Cadastro_Acoes!C:C)</f>
        <v>Intermediários Financeiros</v>
      </c>
      <c r="F132" s="10" t="s">
        <v>63</v>
      </c>
      <c r="G132" s="11">
        <f>_xlfn.XLOOKUP(A132,Historico_Cota!A:A,Historico_Cota!C:C)</f>
        <v>122186.69</v>
      </c>
      <c r="H132"/>
      <c r="I132" s="1"/>
      <c r="J132" s="1"/>
    </row>
    <row r="133" spans="1:10" x14ac:dyDescent="0.3">
      <c r="A133" s="9">
        <v>45777</v>
      </c>
      <c r="B133" s="10" t="s">
        <v>25</v>
      </c>
      <c r="C133" s="11">
        <v>7613.06</v>
      </c>
      <c r="D133" s="41">
        <f t="shared" si="17"/>
        <v>6.2306786442942352E-2</v>
      </c>
      <c r="E133" s="10" t="str">
        <f>_xlfn.XLOOKUP(B133,Cadastro_Acoes!A:A,Cadastro_Acoes!C:C)</f>
        <v>Previdência e Seguros</v>
      </c>
      <c r="F133" s="10" t="s">
        <v>63</v>
      </c>
      <c r="G133" s="11">
        <f>_xlfn.XLOOKUP(A133,Historico_Cota!A:A,Historico_Cota!C:C)</f>
        <v>122186.69</v>
      </c>
      <c r="H133"/>
      <c r="I133" s="1"/>
      <c r="J133" s="1"/>
    </row>
    <row r="134" spans="1:10" x14ac:dyDescent="0.3">
      <c r="A134" s="9">
        <v>45777</v>
      </c>
      <c r="B134" s="10" t="s">
        <v>26</v>
      </c>
      <c r="C134" s="11">
        <v>16311.08</v>
      </c>
      <c r="D134" s="41">
        <f t="shared" si="17"/>
        <v>0.13349309978034432</v>
      </c>
      <c r="E134" s="10" t="str">
        <f>_xlfn.XLOOKUP(B134,Cadastro_Acoes!A:A,Cadastro_Acoes!C:C)</f>
        <v>Intermediários Financeiros</v>
      </c>
      <c r="F134" s="10" t="s">
        <v>63</v>
      </c>
      <c r="G134" s="11">
        <f>_xlfn.XLOOKUP(A134,Historico_Cota!A:A,Historico_Cota!C:C)</f>
        <v>122186.69</v>
      </c>
      <c r="H134"/>
      <c r="I134" s="1"/>
      <c r="J134" s="1"/>
    </row>
    <row r="135" spans="1:10" x14ac:dyDescent="0.3">
      <c r="A135" s="9">
        <v>45777</v>
      </c>
      <c r="B135" s="10" t="s">
        <v>27</v>
      </c>
      <c r="C135" s="11">
        <v>11972.16</v>
      </c>
      <c r="D135" s="41">
        <f t="shared" si="17"/>
        <v>9.798252166418453E-2</v>
      </c>
      <c r="E135" s="10" t="str">
        <f>_xlfn.XLOOKUP(B135,Cadastro_Acoes!A:A,Cadastro_Acoes!C:C)</f>
        <v>Energia Elétrica</v>
      </c>
      <c r="F135" s="10" t="s">
        <v>63</v>
      </c>
      <c r="G135" s="11">
        <f>_xlfn.XLOOKUP(A135,Historico_Cota!A:A,Historico_Cota!C:C)</f>
        <v>122186.69</v>
      </c>
      <c r="H135"/>
      <c r="I135" s="1"/>
      <c r="J135" s="1"/>
    </row>
    <row r="136" spans="1:10" x14ac:dyDescent="0.3">
      <c r="A136" s="9">
        <v>45777</v>
      </c>
      <c r="B136" s="10" t="s">
        <v>28</v>
      </c>
      <c r="C136" s="11">
        <v>16542.89</v>
      </c>
      <c r="D136" s="41">
        <f t="shared" si="17"/>
        <v>0.13539027859744787</v>
      </c>
      <c r="E136" s="10" t="str">
        <f>_xlfn.XLOOKUP(B136,Cadastro_Acoes!A:A,Cadastro_Acoes!C:C)</f>
        <v>Energia Elétrica</v>
      </c>
      <c r="F136" s="10" t="s">
        <v>63</v>
      </c>
      <c r="G136" s="11">
        <f>_xlfn.XLOOKUP(A136,Historico_Cota!A:A,Historico_Cota!C:C)</f>
        <v>122186.69</v>
      </c>
      <c r="H136"/>
      <c r="I136" s="1"/>
      <c r="J136" s="1"/>
    </row>
    <row r="137" spans="1:10" x14ac:dyDescent="0.3">
      <c r="A137" s="9">
        <v>45777</v>
      </c>
      <c r="B137" s="10" t="s">
        <v>29</v>
      </c>
      <c r="C137" s="11">
        <v>6732.65</v>
      </c>
      <c r="D137" s="41">
        <f t="shared" si="17"/>
        <v>5.5101337142367958E-2</v>
      </c>
      <c r="E137" s="10" t="str">
        <f>_xlfn.XLOOKUP(B137,Cadastro_Acoes!A:A,Cadastro_Acoes!C:C)</f>
        <v>Fundos de índice</v>
      </c>
      <c r="F137" s="10" t="s">
        <v>63</v>
      </c>
      <c r="G137" s="11">
        <f>_xlfn.XLOOKUP(A137,Historico_Cota!A:A,Historico_Cota!C:C)</f>
        <v>122186.69</v>
      </c>
      <c r="H137"/>
      <c r="I137" s="1"/>
      <c r="J137" s="1"/>
    </row>
    <row r="138" spans="1:10" x14ac:dyDescent="0.3">
      <c r="A138" s="9">
        <v>45777</v>
      </c>
      <c r="B138" s="10" t="s">
        <v>30</v>
      </c>
      <c r="C138" s="11">
        <v>14225.62</v>
      </c>
      <c r="D138" s="41">
        <f>C138/G138</f>
        <v>0.11642528331031801</v>
      </c>
      <c r="E138" s="10" t="str">
        <f>_xlfn.XLOOKUP(B138,Cadastro_Acoes!A:A,Cadastro_Acoes!C:C)</f>
        <v>Petróleo, Gás e Biocombustíveis</v>
      </c>
      <c r="F138" s="10" t="s">
        <v>63</v>
      </c>
      <c r="G138" s="11">
        <f>_xlfn.XLOOKUP(A138,Historico_Cota!A:A,Historico_Cota!C:C)</f>
        <v>122186.69</v>
      </c>
      <c r="H138"/>
      <c r="I138" s="1"/>
      <c r="J138" s="1"/>
    </row>
    <row r="139" spans="1:10" x14ac:dyDescent="0.3">
      <c r="A139" s="9">
        <v>45777</v>
      </c>
      <c r="B139" s="10" t="s">
        <v>31</v>
      </c>
      <c r="C139" s="11">
        <v>6364.65</v>
      </c>
      <c r="D139" s="41">
        <f t="shared" ref="D139:D147" si="18">C139/G139</f>
        <v>5.2089552470895147E-2</v>
      </c>
      <c r="E139" s="10" t="str">
        <f>_xlfn.XLOOKUP(B139,Cadastro_Acoes!A:A,Cadastro_Acoes!C:C)</f>
        <v>Fundos de índice</v>
      </c>
      <c r="F139" s="10" t="s">
        <v>63</v>
      </c>
      <c r="G139" s="11">
        <f>_xlfn.XLOOKUP(A139,Historico_Cota!A:A,Historico_Cota!C:C)</f>
        <v>122186.69</v>
      </c>
      <c r="H139"/>
      <c r="I139" s="1"/>
      <c r="J139" s="1"/>
    </row>
    <row r="140" spans="1:10" x14ac:dyDescent="0.3">
      <c r="A140" s="9">
        <v>45777</v>
      </c>
      <c r="B140" s="10" t="s">
        <v>32</v>
      </c>
      <c r="C140" s="11">
        <v>13479.3</v>
      </c>
      <c r="D140" s="41">
        <f t="shared" si="18"/>
        <v>0.11031725304941151</v>
      </c>
      <c r="E140" s="10" t="str">
        <f>_xlfn.XLOOKUP(B140,Cadastro_Acoes!A:A,Cadastro_Acoes!C:C)</f>
        <v>Mineração</v>
      </c>
      <c r="F140" s="10" t="s">
        <v>63</v>
      </c>
      <c r="G140" s="11">
        <f>_xlfn.XLOOKUP(A140,Historico_Cota!A:A,Historico_Cota!C:C)</f>
        <v>122186.69</v>
      </c>
      <c r="H140"/>
      <c r="I140" s="1"/>
      <c r="J140" s="1"/>
    </row>
    <row r="141" spans="1:10" x14ac:dyDescent="0.3">
      <c r="A141" s="12">
        <v>45777</v>
      </c>
      <c r="B141" s="13" t="s">
        <v>33</v>
      </c>
      <c r="C141" s="14">
        <v>13668.23</v>
      </c>
      <c r="D141" s="42">
        <f t="shared" si="18"/>
        <v>0.11186349347870868</v>
      </c>
      <c r="E141" s="13" t="str">
        <f>_xlfn.XLOOKUP(B141,Cadastro_Acoes!A:A,Cadastro_Acoes!C:C)</f>
        <v>Caixa</v>
      </c>
      <c r="F141" s="13" t="s">
        <v>59</v>
      </c>
      <c r="G141" s="14">
        <f>_xlfn.XLOOKUP(A141,Historico_Cota!A:A,Historico_Cota!C:C)</f>
        <v>122186.69</v>
      </c>
      <c r="H141"/>
      <c r="J141" s="1"/>
    </row>
    <row r="142" spans="1:10" x14ac:dyDescent="0.3">
      <c r="A142" s="9">
        <v>45783</v>
      </c>
      <c r="B142" s="10" t="s">
        <v>24</v>
      </c>
      <c r="C142" s="11">
        <v>14710.1</v>
      </c>
      <c r="D142" s="41">
        <f t="shared" si="18"/>
        <v>0.12039941887827137</v>
      </c>
      <c r="E142" s="10" t="str">
        <f>_xlfn.XLOOKUP(B142,Cadastro_Acoes!A:A,Cadastro_Acoes!C:C)</f>
        <v>Intermediários Financeiros</v>
      </c>
      <c r="F142" s="10" t="s">
        <v>63</v>
      </c>
      <c r="G142" s="11">
        <f>_xlfn.XLOOKUP(A142,Historico_Cota!A:A,Historico_Cota!C:C)</f>
        <v>122177.5</v>
      </c>
      <c r="H142"/>
      <c r="I142" s="1"/>
      <c r="J142" s="1"/>
    </row>
    <row r="143" spans="1:10" x14ac:dyDescent="0.3">
      <c r="A143" s="9">
        <v>45783</v>
      </c>
      <c r="B143" s="10" t="s">
        <v>25</v>
      </c>
      <c r="C143" s="11">
        <v>6909.96</v>
      </c>
      <c r="D143" s="41">
        <f t="shared" si="18"/>
        <v>5.6556730985656119E-2</v>
      </c>
      <c r="E143" s="10" t="str">
        <f>_xlfn.XLOOKUP(B143,Cadastro_Acoes!A:A,Cadastro_Acoes!C:C)</f>
        <v>Previdência e Seguros</v>
      </c>
      <c r="F143" s="10" t="s">
        <v>63</v>
      </c>
      <c r="G143" s="11">
        <f>_xlfn.XLOOKUP(A143,Historico_Cota!A:A,Historico_Cota!C:C)</f>
        <v>122177.5</v>
      </c>
      <c r="H143"/>
      <c r="I143" s="1"/>
      <c r="J143" s="1"/>
    </row>
    <row r="144" spans="1:10" x14ac:dyDescent="0.3">
      <c r="A144" s="9">
        <v>45783</v>
      </c>
      <c r="B144" s="10" t="s">
        <v>26</v>
      </c>
      <c r="C144" s="11">
        <v>15990.08</v>
      </c>
      <c r="D144" s="41">
        <f t="shared" si="18"/>
        <v>0.13087581592355385</v>
      </c>
      <c r="E144" s="10" t="str">
        <f>_xlfn.XLOOKUP(B144,Cadastro_Acoes!A:A,Cadastro_Acoes!C:C)</f>
        <v>Intermediários Financeiros</v>
      </c>
      <c r="F144" s="10" t="s">
        <v>63</v>
      </c>
      <c r="G144" s="11">
        <f>_xlfn.XLOOKUP(A144,Historico_Cota!A:A,Historico_Cota!C:C)</f>
        <v>122177.5</v>
      </c>
      <c r="H144"/>
      <c r="I144" s="1"/>
      <c r="J144" s="1"/>
    </row>
    <row r="145" spans="1:15" x14ac:dyDescent="0.3">
      <c r="A145" s="9">
        <v>45783</v>
      </c>
      <c r="B145" s="10" t="s">
        <v>27</v>
      </c>
      <c r="C145" s="11">
        <v>11736</v>
      </c>
      <c r="D145" s="41">
        <f t="shared" si="18"/>
        <v>9.605696629903214E-2</v>
      </c>
      <c r="E145" s="10" t="str">
        <f>_xlfn.XLOOKUP(B145,Cadastro_Acoes!A:A,Cadastro_Acoes!C:C)</f>
        <v>Energia Elétrica</v>
      </c>
      <c r="F145" s="10" t="s">
        <v>63</v>
      </c>
      <c r="G145" s="11">
        <f>_xlfn.XLOOKUP(A145,Historico_Cota!A:A,Historico_Cota!C:C)</f>
        <v>122177.5</v>
      </c>
      <c r="H145"/>
      <c r="I145" s="1"/>
      <c r="J145" s="1"/>
    </row>
    <row r="146" spans="1:15" x14ac:dyDescent="0.3">
      <c r="A146" s="9">
        <v>45783</v>
      </c>
      <c r="B146" s="10" t="s">
        <v>28</v>
      </c>
      <c r="C146" s="11">
        <v>16206.75</v>
      </c>
      <c r="D146" s="41">
        <f t="shared" si="18"/>
        <v>0.13264921937345256</v>
      </c>
      <c r="E146" s="10" t="str">
        <f>_xlfn.XLOOKUP(B146,Cadastro_Acoes!A:A,Cadastro_Acoes!C:C)</f>
        <v>Energia Elétrica</v>
      </c>
      <c r="F146" s="10" t="s">
        <v>63</v>
      </c>
      <c r="G146" s="11">
        <f>_xlfn.XLOOKUP(A146,Historico_Cota!A:A,Historico_Cota!C:C)</f>
        <v>122177.5</v>
      </c>
      <c r="H146"/>
      <c r="I146" s="1"/>
      <c r="J146" s="1"/>
    </row>
    <row r="147" spans="1:15" x14ac:dyDescent="0.3">
      <c r="A147" s="9">
        <v>45783</v>
      </c>
      <c r="B147" s="10" t="s">
        <v>29</v>
      </c>
      <c r="C147" s="11">
        <v>6812.45</v>
      </c>
      <c r="D147" s="41">
        <f t="shared" si="18"/>
        <v>5.5758629862290521E-2</v>
      </c>
      <c r="E147" s="10" t="str">
        <f>_xlfn.XLOOKUP(B147,Cadastro_Acoes!A:A,Cadastro_Acoes!C:C)</f>
        <v>Fundos de índice</v>
      </c>
      <c r="F147" s="10" t="s">
        <v>63</v>
      </c>
      <c r="G147" s="11">
        <f>_xlfn.XLOOKUP(A147,Historico_Cota!A:A,Historico_Cota!C:C)</f>
        <v>122177.5</v>
      </c>
      <c r="H147"/>
      <c r="I147" s="1"/>
      <c r="J147" s="1"/>
    </row>
    <row r="148" spans="1:15" x14ac:dyDescent="0.3">
      <c r="A148" s="9">
        <v>45783</v>
      </c>
      <c r="B148" s="10" t="s">
        <v>30</v>
      </c>
      <c r="C148" s="11">
        <v>15601.34</v>
      </c>
      <c r="D148" s="41">
        <f>C148/G148</f>
        <v>0.12769405168709461</v>
      </c>
      <c r="E148" s="10" t="str">
        <f>_xlfn.XLOOKUP(B148,Cadastro_Acoes!A:A,Cadastro_Acoes!C:C)</f>
        <v>Petróleo, Gás e Biocombustíveis</v>
      </c>
      <c r="F148" s="10" t="s">
        <v>63</v>
      </c>
      <c r="G148" s="11">
        <f>_xlfn.XLOOKUP(A148,Historico_Cota!A:A,Historico_Cota!C:C)</f>
        <v>122177.5</v>
      </c>
      <c r="H148"/>
      <c r="I148" s="1"/>
      <c r="J148" s="1"/>
    </row>
    <row r="149" spans="1:15" ht="19.8" x14ac:dyDescent="0.4">
      <c r="A149" s="9">
        <v>45783</v>
      </c>
      <c r="B149" s="10" t="s">
        <v>31</v>
      </c>
      <c r="C149" s="11">
        <v>6505.08</v>
      </c>
      <c r="D149" s="41">
        <f t="shared" ref="D149:D157" si="19">C149/G149</f>
        <v>5.324286386609646E-2</v>
      </c>
      <c r="E149" s="10" t="str">
        <f>_xlfn.XLOOKUP(B149,Cadastro_Acoes!A:A,Cadastro_Acoes!C:C)</f>
        <v>Fundos de índice</v>
      </c>
      <c r="F149" s="10" t="s">
        <v>63</v>
      </c>
      <c r="G149" s="11">
        <f>_xlfn.XLOOKUP(A149,Historico_Cota!A:A,Historico_Cota!C:C)</f>
        <v>122177.5</v>
      </c>
      <c r="H149"/>
      <c r="I149" s="1"/>
      <c r="J149" s="1"/>
      <c r="K149" s="96"/>
    </row>
    <row r="150" spans="1:15" x14ac:dyDescent="0.3">
      <c r="A150" s="9">
        <v>45783</v>
      </c>
      <c r="B150" s="10" t="s">
        <v>32</v>
      </c>
      <c r="C150" s="11">
        <v>13515</v>
      </c>
      <c r="D150" s="41">
        <f t="shared" si="19"/>
        <v>0.11061774876716253</v>
      </c>
      <c r="E150" s="10" t="str">
        <f>_xlfn.XLOOKUP(B150,Cadastro_Acoes!A:A,Cadastro_Acoes!C:C)</f>
        <v>Mineração</v>
      </c>
      <c r="F150" s="10" t="s">
        <v>63</v>
      </c>
      <c r="G150" s="11">
        <f>_xlfn.XLOOKUP(A150,Historico_Cota!A:A,Historico_Cota!C:C)</f>
        <v>122177.5</v>
      </c>
      <c r="H150"/>
      <c r="I150" s="1"/>
      <c r="J150" s="1"/>
      <c r="K150" s="97"/>
      <c r="L150" s="97"/>
      <c r="M150" s="97"/>
    </row>
    <row r="151" spans="1:15" x14ac:dyDescent="0.3">
      <c r="A151" s="12">
        <v>45783</v>
      </c>
      <c r="B151" s="13" t="s">
        <v>33</v>
      </c>
      <c r="C151" s="14">
        <v>13475.24</v>
      </c>
      <c r="D151" s="42">
        <f t="shared" si="19"/>
        <v>0.11029232059912832</v>
      </c>
      <c r="E151" s="13" t="str">
        <f>_xlfn.XLOOKUP(B151,Cadastro_Acoes!A:A,Cadastro_Acoes!C:C)</f>
        <v>Caixa</v>
      </c>
      <c r="F151" s="13" t="s">
        <v>59</v>
      </c>
      <c r="G151" s="14">
        <f>_xlfn.XLOOKUP(A151,Historico_Cota!A:A,Historico_Cota!C:C)</f>
        <v>122177.5</v>
      </c>
      <c r="H151" s="3"/>
      <c r="I151" s="1"/>
      <c r="J151" s="1"/>
      <c r="K151" s="98"/>
      <c r="L151" s="99"/>
      <c r="M151" s="100"/>
      <c r="N151" s="3"/>
      <c r="O151" s="3"/>
    </row>
    <row r="152" spans="1:15" x14ac:dyDescent="0.3">
      <c r="A152" s="9">
        <v>45786</v>
      </c>
      <c r="B152" s="10" t="s">
        <v>24</v>
      </c>
      <c r="C152" s="11">
        <v>15030.77</v>
      </c>
      <c r="D152" s="41">
        <f t="shared" si="19"/>
        <v>0.12135438768504184</v>
      </c>
      <c r="E152" s="10" t="str">
        <f>_xlfn.XLOOKUP(B152,Cadastro_Acoes!A:A,Cadastro_Acoes!C:C)</f>
        <v>Intermediários Financeiros</v>
      </c>
      <c r="F152" s="10" t="s">
        <v>63</v>
      </c>
      <c r="G152" s="11">
        <f>_xlfn.XLOOKUP(A152,Historico_Cota!A:A,Historico_Cota!C:C)</f>
        <v>123858.48</v>
      </c>
      <c r="I152" s="92"/>
      <c r="K152" s="98"/>
      <c r="L152" s="99"/>
      <c r="M152" s="100"/>
      <c r="N152" s="3"/>
      <c r="O152" s="3"/>
    </row>
    <row r="153" spans="1:15" x14ac:dyDescent="0.3">
      <c r="A153" s="9">
        <v>45786</v>
      </c>
      <c r="B153" s="10" t="s">
        <v>25</v>
      </c>
      <c r="C153" s="11">
        <v>6822.74</v>
      </c>
      <c r="D153" s="41">
        <f t="shared" si="19"/>
        <v>5.5084964711338294E-2</v>
      </c>
      <c r="E153" s="10" t="str">
        <f>_xlfn.XLOOKUP(B153,Cadastro_Acoes!A:A,Cadastro_Acoes!C:C)</f>
        <v>Previdência e Seguros</v>
      </c>
      <c r="F153" s="10" t="s">
        <v>63</v>
      </c>
      <c r="G153" s="11">
        <f>_xlfn.XLOOKUP(A153,Historico_Cota!A:A,Historico_Cota!C:C)</f>
        <v>123858.48</v>
      </c>
      <c r="I153" s="92"/>
      <c r="K153" s="98"/>
      <c r="L153" s="99"/>
      <c r="M153" s="100"/>
      <c r="N153" s="3"/>
      <c r="O153" s="3"/>
    </row>
    <row r="154" spans="1:15" x14ac:dyDescent="0.3">
      <c r="A154" s="9">
        <v>45786</v>
      </c>
      <c r="B154" s="10" t="s">
        <v>26</v>
      </c>
      <c r="C154" s="11">
        <v>17466.68</v>
      </c>
      <c r="D154" s="41">
        <f t="shared" si="19"/>
        <v>0.14102126878999324</v>
      </c>
      <c r="E154" s="10" t="str">
        <f>_xlfn.XLOOKUP(B154,Cadastro_Acoes!A:A,Cadastro_Acoes!C:C)</f>
        <v>Intermediários Financeiros</v>
      </c>
      <c r="F154" s="10" t="s">
        <v>63</v>
      </c>
      <c r="G154" s="11">
        <f>_xlfn.XLOOKUP(A154,Historico_Cota!A:A,Historico_Cota!C:C)</f>
        <v>123858.48</v>
      </c>
      <c r="I154" s="92"/>
      <c r="K154" s="98"/>
      <c r="L154" s="99"/>
      <c r="M154" s="100"/>
      <c r="N154" s="3"/>
      <c r="O154" s="3"/>
    </row>
    <row r="155" spans="1:15" x14ac:dyDescent="0.3">
      <c r="A155" s="9">
        <v>45786</v>
      </c>
      <c r="B155" s="10" t="s">
        <v>27</v>
      </c>
      <c r="C155" s="11">
        <v>11332.8</v>
      </c>
      <c r="D155" s="41">
        <f t="shared" si="19"/>
        <v>9.1497974139517935E-2</v>
      </c>
      <c r="E155" s="10" t="str">
        <f>_xlfn.XLOOKUP(B155,Cadastro_Acoes!A:A,Cadastro_Acoes!C:C)</f>
        <v>Energia Elétrica</v>
      </c>
      <c r="F155" s="10" t="s">
        <v>63</v>
      </c>
      <c r="G155" s="11">
        <f>_xlfn.XLOOKUP(A155,Historico_Cota!A:A,Historico_Cota!C:C)</f>
        <v>123858.48</v>
      </c>
      <c r="I155" s="92"/>
      <c r="K155" s="98"/>
      <c r="L155" s="99"/>
      <c r="M155" s="100"/>
      <c r="N155" s="3"/>
      <c r="O155" s="3"/>
    </row>
    <row r="156" spans="1:15" x14ac:dyDescent="0.3">
      <c r="A156" s="9">
        <v>45786</v>
      </c>
      <c r="B156" s="10" t="s">
        <v>28</v>
      </c>
      <c r="C156" s="11">
        <v>16433.13</v>
      </c>
      <c r="D156" s="41">
        <f t="shared" si="19"/>
        <v>0.13267666452874283</v>
      </c>
      <c r="E156" s="10" t="str">
        <f>_xlfn.XLOOKUP(B156,Cadastro_Acoes!A:A,Cadastro_Acoes!C:C)</f>
        <v>Energia Elétrica</v>
      </c>
      <c r="F156" s="10" t="s">
        <v>63</v>
      </c>
      <c r="G156" s="11">
        <f>_xlfn.XLOOKUP(A156,Historico_Cota!A:A,Historico_Cota!C:C)</f>
        <v>123858.48</v>
      </c>
      <c r="I156" s="92"/>
      <c r="K156" s="98"/>
      <c r="L156" s="99"/>
      <c r="M156" s="100"/>
      <c r="N156" s="3"/>
      <c r="O156" s="3"/>
    </row>
    <row r="157" spans="1:15" x14ac:dyDescent="0.3">
      <c r="A157" s="9">
        <v>45786</v>
      </c>
      <c r="B157" s="10" t="s">
        <v>29</v>
      </c>
      <c r="C157" s="11">
        <v>6803.9</v>
      </c>
      <c r="D157" s="41">
        <f t="shared" si="19"/>
        <v>5.4932855626841214E-2</v>
      </c>
      <c r="E157" s="10" t="str">
        <f>_xlfn.XLOOKUP(B157,Cadastro_Acoes!A:A,Cadastro_Acoes!C:C)</f>
        <v>Fundos de índice</v>
      </c>
      <c r="F157" s="10" t="s">
        <v>63</v>
      </c>
      <c r="G157" s="11">
        <f>_xlfn.XLOOKUP(A157,Historico_Cota!A:A,Historico_Cota!C:C)</f>
        <v>123858.48</v>
      </c>
      <c r="I157" s="92"/>
      <c r="K157" s="98"/>
      <c r="L157" s="99"/>
      <c r="M157" s="100"/>
      <c r="N157" s="3"/>
      <c r="O157" s="3"/>
    </row>
    <row r="158" spans="1:15" x14ac:dyDescent="0.3">
      <c r="A158" s="9">
        <v>45786</v>
      </c>
      <c r="B158" s="10" t="s">
        <v>30</v>
      </c>
      <c r="C158" s="11">
        <v>15474.74</v>
      </c>
      <c r="D158" s="41">
        <f>C158/G158</f>
        <v>0.12493888185936078</v>
      </c>
      <c r="E158" s="10" t="str">
        <f>_xlfn.XLOOKUP(B158,Cadastro_Acoes!A:A,Cadastro_Acoes!C:C)</f>
        <v>Petróleo, Gás e Biocombustíveis</v>
      </c>
      <c r="F158" s="10" t="s">
        <v>63</v>
      </c>
      <c r="G158" s="11">
        <f>_xlfn.XLOOKUP(A158,Historico_Cota!A:A,Historico_Cota!C:C)</f>
        <v>123858.48</v>
      </c>
      <c r="I158" s="92"/>
      <c r="K158" s="98"/>
      <c r="L158" s="99"/>
      <c r="M158" s="100"/>
      <c r="N158" s="3"/>
      <c r="O158" s="3"/>
    </row>
    <row r="159" spans="1:15" x14ac:dyDescent="0.3">
      <c r="A159" s="9">
        <v>45786</v>
      </c>
      <c r="B159" s="10" t="s">
        <v>31</v>
      </c>
      <c r="C159" s="11">
        <v>6577.56</v>
      </c>
      <c r="D159" s="41">
        <f t="shared" ref="D159:D167" si="20">C159/G159</f>
        <v>5.3105447442920346E-2</v>
      </c>
      <c r="E159" s="10" t="str">
        <f>_xlfn.XLOOKUP(B159,Cadastro_Acoes!A:A,Cadastro_Acoes!C:C)</f>
        <v>Fundos de índice</v>
      </c>
      <c r="F159" s="10" t="s">
        <v>63</v>
      </c>
      <c r="G159" s="11">
        <f>_xlfn.XLOOKUP(A159,Historico_Cota!A:A,Historico_Cota!C:C)</f>
        <v>123858.48</v>
      </c>
      <c r="I159" s="92"/>
      <c r="K159" s="98"/>
      <c r="L159" s="99"/>
      <c r="M159" s="100"/>
      <c r="N159" s="3"/>
      <c r="O159" s="3"/>
    </row>
    <row r="160" spans="1:15" x14ac:dyDescent="0.3">
      <c r="A160" s="9">
        <v>45786</v>
      </c>
      <c r="B160" s="10" t="s">
        <v>32</v>
      </c>
      <c r="C160" s="11">
        <v>13502.25</v>
      </c>
      <c r="D160" s="41">
        <f t="shared" si="20"/>
        <v>0.10901352898889119</v>
      </c>
      <c r="E160" s="10" t="str">
        <f>_xlfn.XLOOKUP(B160,Cadastro_Acoes!A:A,Cadastro_Acoes!C:C)</f>
        <v>Mineração</v>
      </c>
      <c r="F160" s="10" t="s">
        <v>63</v>
      </c>
      <c r="G160" s="11">
        <f>_xlfn.XLOOKUP(A160,Historico_Cota!A:A,Historico_Cota!C:C)</f>
        <v>123858.48</v>
      </c>
      <c r="I160" s="92"/>
      <c r="K160" s="98"/>
      <c r="L160" s="98"/>
      <c r="M160" s="100"/>
      <c r="N160" s="3"/>
      <c r="O160" s="3"/>
    </row>
    <row r="161" spans="1:15" x14ac:dyDescent="0.3">
      <c r="A161" s="9">
        <v>45786</v>
      </c>
      <c r="B161" s="13" t="s">
        <v>33</v>
      </c>
      <c r="C161" s="14">
        <v>13475.24</v>
      </c>
      <c r="D161" s="42">
        <f t="shared" si="20"/>
        <v>0.10879545752539511</v>
      </c>
      <c r="E161" s="13" t="str">
        <f>_xlfn.XLOOKUP(B161,Cadastro_Acoes!A:A,Cadastro_Acoes!C:C)</f>
        <v>Caixa</v>
      </c>
      <c r="F161" s="13" t="s">
        <v>59</v>
      </c>
      <c r="G161" s="14">
        <f>_xlfn.XLOOKUP(A161,Historico_Cota!A:A,Historico_Cota!C:C)</f>
        <v>123858.48</v>
      </c>
      <c r="K161" s="98"/>
      <c r="L161" s="98"/>
      <c r="M161" s="100"/>
      <c r="N161" s="3"/>
      <c r="O161" s="3"/>
    </row>
    <row r="162" spans="1:15" x14ac:dyDescent="0.3">
      <c r="A162" s="9">
        <v>45797</v>
      </c>
      <c r="B162" s="10" t="s">
        <v>24</v>
      </c>
      <c r="C162" s="11">
        <v>12979.5</v>
      </c>
      <c r="D162" s="41">
        <f t="shared" si="20"/>
        <v>0.10440148017723196</v>
      </c>
      <c r="E162" s="10" t="str">
        <f>_xlfn.XLOOKUP(B162,Cadastro_Acoes!A:A,Cadastro_Acoes!C:C)</f>
        <v>Intermediários Financeiros</v>
      </c>
      <c r="F162" s="10" t="s">
        <v>63</v>
      </c>
      <c r="G162" s="11">
        <f>_xlfn.XLOOKUP(A162,Historico_Cota!A:A,Historico_Cota!C:C)</f>
        <v>124322.95</v>
      </c>
      <c r="I162" s="1"/>
      <c r="K162" s="98"/>
      <c r="L162" s="98"/>
      <c r="M162" s="100"/>
      <c r="N162" s="3"/>
      <c r="O162" s="3"/>
    </row>
    <row r="163" spans="1:15" x14ac:dyDescent="0.3">
      <c r="A163" s="9">
        <v>45797</v>
      </c>
      <c r="B163" s="10" t="s">
        <v>25</v>
      </c>
      <c r="C163" s="11">
        <v>6833.42</v>
      </c>
      <c r="D163" s="41">
        <f t="shared" si="20"/>
        <v>5.4965072820424551E-2</v>
      </c>
      <c r="E163" s="10" t="str">
        <f>_xlfn.XLOOKUP(B163,Cadastro_Acoes!A:A,Cadastro_Acoes!C:C)</f>
        <v>Previdência e Seguros</v>
      </c>
      <c r="F163" s="10" t="s">
        <v>63</v>
      </c>
      <c r="G163" s="11">
        <f>_xlfn.XLOOKUP(A163,Historico_Cota!A:A,Historico_Cota!C:C)</f>
        <v>124322.95</v>
      </c>
      <c r="I163" s="1"/>
    </row>
    <row r="164" spans="1:15" x14ac:dyDescent="0.3">
      <c r="A164" s="9">
        <v>45797</v>
      </c>
      <c r="B164" s="10" t="s">
        <v>26</v>
      </c>
      <c r="C164" s="11">
        <v>17128.560000000001</v>
      </c>
      <c r="D164" s="41">
        <f t="shared" si="20"/>
        <v>0.1377747230097098</v>
      </c>
      <c r="E164" s="10" t="str">
        <f>_xlfn.XLOOKUP(B164,Cadastro_Acoes!A:A,Cadastro_Acoes!C:C)</f>
        <v>Intermediários Financeiros</v>
      </c>
      <c r="F164" s="10" t="s">
        <v>63</v>
      </c>
      <c r="G164" s="11">
        <f>_xlfn.XLOOKUP(A164,Historico_Cota!A:A,Historico_Cota!C:C)</f>
        <v>124322.95</v>
      </c>
      <c r="I164" s="1"/>
    </row>
    <row r="165" spans="1:15" x14ac:dyDescent="0.3">
      <c r="A165" s="9">
        <v>45797</v>
      </c>
      <c r="B165" s="10" t="s">
        <v>27</v>
      </c>
      <c r="C165" s="11">
        <v>11900.16</v>
      </c>
      <c r="D165" s="41">
        <f t="shared" si="20"/>
        <v>9.571973638012933E-2</v>
      </c>
      <c r="E165" s="10" t="str">
        <f>_xlfn.XLOOKUP(B165,Cadastro_Acoes!A:A,Cadastro_Acoes!C:C)</f>
        <v>Energia Elétrica</v>
      </c>
      <c r="F165" s="10" t="s">
        <v>63</v>
      </c>
      <c r="G165" s="11">
        <f>_xlfn.XLOOKUP(A165,Historico_Cota!A:A,Historico_Cota!C:C)</f>
        <v>124322.95</v>
      </c>
      <c r="I165" s="1"/>
    </row>
    <row r="166" spans="1:15" x14ac:dyDescent="0.3">
      <c r="A166" s="9">
        <v>45797</v>
      </c>
      <c r="B166" s="10" t="s">
        <v>28</v>
      </c>
      <c r="C166" s="11">
        <v>15994.09</v>
      </c>
      <c r="D166" s="41">
        <f t="shared" si="20"/>
        <v>0.12864953735412488</v>
      </c>
      <c r="E166" s="10" t="str">
        <f>_xlfn.XLOOKUP(B166,Cadastro_Acoes!A:A,Cadastro_Acoes!C:C)</f>
        <v>Energia Elétrica</v>
      </c>
      <c r="F166" s="10" t="s">
        <v>63</v>
      </c>
      <c r="G166" s="11">
        <f>_xlfn.XLOOKUP(A166,Historico_Cota!A:A,Historico_Cota!C:C)</f>
        <v>124322.95</v>
      </c>
      <c r="I166" s="1"/>
    </row>
    <row r="167" spans="1:15" x14ac:dyDescent="0.3">
      <c r="A167" s="9">
        <v>45797</v>
      </c>
      <c r="B167" s="10" t="s">
        <v>29</v>
      </c>
      <c r="C167" s="11">
        <v>7173.45</v>
      </c>
      <c r="D167" s="41">
        <f t="shared" si="20"/>
        <v>5.770012696770789E-2</v>
      </c>
      <c r="E167" s="10" t="str">
        <f>_xlfn.XLOOKUP(B167,Cadastro_Acoes!A:A,Cadastro_Acoes!C:C)</f>
        <v>Fundos de índice</v>
      </c>
      <c r="F167" s="10" t="s">
        <v>63</v>
      </c>
      <c r="G167" s="11">
        <f>_xlfn.XLOOKUP(A167,Historico_Cota!A:A,Historico_Cota!C:C)</f>
        <v>124322.95</v>
      </c>
      <c r="I167" s="1"/>
    </row>
    <row r="168" spans="1:15" x14ac:dyDescent="0.3">
      <c r="A168" s="9">
        <v>45797</v>
      </c>
      <c r="B168" s="10" t="s">
        <v>30</v>
      </c>
      <c r="C168" s="11">
        <v>16770.28</v>
      </c>
      <c r="D168" s="41">
        <f>C168/G168</f>
        <v>0.13489287376144146</v>
      </c>
      <c r="E168" s="10" t="str">
        <f>_xlfn.XLOOKUP(B168,Cadastro_Acoes!A:A,Cadastro_Acoes!C:C)</f>
        <v>Petróleo, Gás e Biocombustíveis</v>
      </c>
      <c r="F168" s="10" t="s">
        <v>63</v>
      </c>
      <c r="G168" s="11">
        <f>_xlfn.XLOOKUP(A168,Historico_Cota!A:A,Historico_Cota!C:C)</f>
        <v>124322.95</v>
      </c>
      <c r="I168" s="1"/>
    </row>
    <row r="169" spans="1:15" x14ac:dyDescent="0.3">
      <c r="A169" s="9">
        <v>45797</v>
      </c>
      <c r="B169" s="10" t="s">
        <v>31</v>
      </c>
      <c r="C169" s="11">
        <v>7084.92</v>
      </c>
      <c r="D169" s="41">
        <f t="shared" ref="D169:D177" si="21">C169/G169</f>
        <v>5.6988029965505164E-2</v>
      </c>
      <c r="E169" s="10" t="str">
        <f>_xlfn.XLOOKUP(B169,Cadastro_Acoes!A:A,Cadastro_Acoes!C:C)</f>
        <v>Fundos de índice</v>
      </c>
      <c r="F169" s="10" t="s">
        <v>63</v>
      </c>
      <c r="G169" s="11">
        <f>_xlfn.XLOOKUP(A169,Historico_Cota!A:A,Historico_Cota!C:C)</f>
        <v>124322.95</v>
      </c>
      <c r="I169" s="1"/>
    </row>
    <row r="170" spans="1:15" x14ac:dyDescent="0.3">
      <c r="A170" s="9">
        <v>45797</v>
      </c>
      <c r="B170" s="10" t="s">
        <v>32</v>
      </c>
      <c r="C170" s="11">
        <v>14114.25</v>
      </c>
      <c r="D170" s="41">
        <f t="shared" si="21"/>
        <v>0.1135289180316265</v>
      </c>
      <c r="E170" s="10" t="str">
        <f>_xlfn.XLOOKUP(B170,Cadastro_Acoes!A:A,Cadastro_Acoes!C:C)</f>
        <v>Mineração</v>
      </c>
      <c r="F170" s="10" t="s">
        <v>63</v>
      </c>
      <c r="G170" s="11">
        <f>_xlfn.XLOOKUP(A170,Historico_Cota!A:A,Historico_Cota!C:C)</f>
        <v>124322.95</v>
      </c>
      <c r="I170" s="1"/>
    </row>
    <row r="171" spans="1:15" x14ac:dyDescent="0.3">
      <c r="A171" s="12">
        <v>45797</v>
      </c>
      <c r="B171" s="13" t="s">
        <v>33</v>
      </c>
      <c r="C171" s="14">
        <v>13513.32</v>
      </c>
      <c r="D171" s="42">
        <f t="shared" si="21"/>
        <v>0.1086952972077963</v>
      </c>
      <c r="E171" s="13" t="str">
        <f>_xlfn.XLOOKUP(B171,Cadastro_Acoes!A:A,Cadastro_Acoes!C:C)</f>
        <v>Caixa</v>
      </c>
      <c r="F171" s="13" t="s">
        <v>59</v>
      </c>
      <c r="G171" s="14">
        <f>_xlfn.XLOOKUP(A171,Historico_Cota!A:A,Historico_Cota!C:C)</f>
        <v>124322.95</v>
      </c>
      <c r="I171" s="1"/>
    </row>
    <row r="172" spans="1:15" x14ac:dyDescent="0.3">
      <c r="A172" s="9">
        <v>45838</v>
      </c>
      <c r="B172" s="10" t="s">
        <v>79</v>
      </c>
      <c r="C172" s="11">
        <v>13221</v>
      </c>
      <c r="D172" s="41">
        <f>C172/G172</f>
        <v>0.10650274968977982</v>
      </c>
      <c r="E172" s="10" t="str">
        <f>_xlfn.XLOOKUP(B172,Cadastro_Acoes!A:A,Cadastro_Acoes!C:C)</f>
        <v>Energia Elétrica</v>
      </c>
      <c r="F172" s="10" t="s">
        <v>63</v>
      </c>
      <c r="G172" s="11">
        <f>_xlfn.XLOOKUP(A172,Historico_Cota!A:A,Historico_Cota!C:C)</f>
        <v>124137.64</v>
      </c>
    </row>
    <row r="173" spans="1:15" x14ac:dyDescent="0.3">
      <c r="A173" s="9">
        <v>45838</v>
      </c>
      <c r="B173" s="10" t="s">
        <v>24</v>
      </c>
      <c r="C173" s="11">
        <v>12392.49</v>
      </c>
      <c r="D173" s="41">
        <f t="shared" si="21"/>
        <v>9.982862570933361E-2</v>
      </c>
      <c r="E173" s="10" t="str">
        <f>_xlfn.XLOOKUP(B173,Cadastro_Acoes!A:A,Cadastro_Acoes!C:C)</f>
        <v>Intermediários Financeiros</v>
      </c>
      <c r="F173" s="10" t="s">
        <v>63</v>
      </c>
      <c r="G173" s="11">
        <f>_xlfn.XLOOKUP(A173,Historico_Cota!A:A,Historico_Cota!C:C)</f>
        <v>124137.64</v>
      </c>
    </row>
    <row r="174" spans="1:15" x14ac:dyDescent="0.3">
      <c r="A174" s="9">
        <v>45838</v>
      </c>
      <c r="B174" s="10" t="s">
        <v>25</v>
      </c>
      <c r="C174" s="11">
        <v>5799.6</v>
      </c>
      <c r="D174" s="41">
        <f t="shared" si="21"/>
        <v>4.6719109530356788E-2</v>
      </c>
      <c r="E174" s="10" t="str">
        <f>_xlfn.XLOOKUP(B174,Cadastro_Acoes!A:A,Cadastro_Acoes!C:C)</f>
        <v>Previdência e Seguros</v>
      </c>
      <c r="F174" s="10" t="s">
        <v>63</v>
      </c>
      <c r="G174" s="11">
        <f>_xlfn.XLOOKUP(A174,Historico_Cota!A:A,Historico_Cota!C:C)</f>
        <v>124137.64</v>
      </c>
    </row>
    <row r="175" spans="1:15" x14ac:dyDescent="0.3">
      <c r="A175" s="9">
        <v>45838</v>
      </c>
      <c r="B175" s="10" t="s">
        <v>26</v>
      </c>
      <c r="C175" s="11">
        <v>14491.75</v>
      </c>
      <c r="D175" s="41">
        <f t="shared" si="21"/>
        <v>0.1167393709111918</v>
      </c>
      <c r="E175" s="10" t="str">
        <f>_xlfn.XLOOKUP(B175,Cadastro_Acoes!A:A,Cadastro_Acoes!C:C)</f>
        <v>Intermediários Financeiros</v>
      </c>
      <c r="F175" s="10" t="s">
        <v>63</v>
      </c>
      <c r="G175" s="11">
        <f>_xlfn.XLOOKUP(A175,Historico_Cota!A:A,Historico_Cota!C:C)</f>
        <v>124137.64</v>
      </c>
    </row>
    <row r="176" spans="1:15" x14ac:dyDescent="0.3">
      <c r="A176" s="9">
        <v>45838</v>
      </c>
      <c r="B176" s="10" t="s">
        <v>27</v>
      </c>
      <c r="C176" s="11">
        <v>9581.51</v>
      </c>
      <c r="D176" s="41">
        <f t="shared" si="21"/>
        <v>7.7184567066040571E-2</v>
      </c>
      <c r="E176" s="10" t="str">
        <f>_xlfn.XLOOKUP(B176,Cadastro_Acoes!A:A,Cadastro_Acoes!C:C)</f>
        <v>Energia Elétrica</v>
      </c>
      <c r="F176" s="10" t="s">
        <v>63</v>
      </c>
      <c r="G176" s="11">
        <f>_xlfn.XLOOKUP(A176,Historico_Cota!A:A,Historico_Cota!C:C)</f>
        <v>124137.64</v>
      </c>
    </row>
    <row r="177" spans="1:7" x14ac:dyDescent="0.3">
      <c r="A177" s="9">
        <v>45838</v>
      </c>
      <c r="B177" s="10" t="s">
        <v>28</v>
      </c>
      <c r="C177" s="11">
        <v>8571.1299999999992</v>
      </c>
      <c r="D177" s="41">
        <f t="shared" si="21"/>
        <v>6.9045375761936506E-2</v>
      </c>
      <c r="E177" s="10" t="str">
        <f>_xlfn.XLOOKUP(B177,Cadastro_Acoes!A:A,Cadastro_Acoes!C:C)</f>
        <v>Energia Elétrica</v>
      </c>
      <c r="F177" s="10" t="s">
        <v>63</v>
      </c>
      <c r="G177" s="11">
        <f>_xlfn.XLOOKUP(A177,Historico_Cota!A:A,Historico_Cota!C:C)</f>
        <v>124137.64</v>
      </c>
    </row>
    <row r="178" spans="1:7" x14ac:dyDescent="0.3">
      <c r="A178" s="9">
        <v>45838</v>
      </c>
      <c r="B178" s="10" t="s">
        <v>29</v>
      </c>
      <c r="C178" s="11">
        <v>5667.75</v>
      </c>
      <c r="D178" s="41">
        <f>C178/G178</f>
        <v>4.5656982040257893E-2</v>
      </c>
      <c r="E178" s="10" t="str">
        <f>_xlfn.XLOOKUP(B178,Cadastro_Acoes!A:A,Cadastro_Acoes!C:C)</f>
        <v>Fundos de índice</v>
      </c>
      <c r="F178" s="10" t="s">
        <v>63</v>
      </c>
      <c r="G178" s="11">
        <f>_xlfn.XLOOKUP(A178,Historico_Cota!A:A,Historico_Cota!C:C)</f>
        <v>124137.64</v>
      </c>
    </row>
    <row r="179" spans="1:7" x14ac:dyDescent="0.3">
      <c r="A179" s="9">
        <v>45838</v>
      </c>
      <c r="B179" s="10" t="s">
        <v>30</v>
      </c>
      <c r="C179" s="11">
        <v>15772.8</v>
      </c>
      <c r="D179" s="41">
        <f>C179/G179</f>
        <v>0.12705896454935023</v>
      </c>
      <c r="E179" s="10" t="str">
        <f>_xlfn.XLOOKUP(B179,Cadastro_Acoes!A:A,Cadastro_Acoes!C:C)</f>
        <v>Petróleo, Gás e Biocombustíveis</v>
      </c>
      <c r="F179" s="10" t="s">
        <v>63</v>
      </c>
      <c r="G179" s="11">
        <f>_xlfn.XLOOKUP(A179,Historico_Cota!A:A,Historico_Cota!C:C)</f>
        <v>124137.64</v>
      </c>
    </row>
    <row r="180" spans="1:7" x14ac:dyDescent="0.3">
      <c r="A180" s="9">
        <v>45838</v>
      </c>
      <c r="B180" s="10" t="s">
        <v>31</v>
      </c>
      <c r="C180" s="11">
        <v>7023.26</v>
      </c>
      <c r="D180" s="41">
        <f t="shared" ref="D180:D188" si="22">C180/G180</f>
        <v>5.6576393751323131E-2</v>
      </c>
      <c r="E180" s="10" t="str">
        <f>_xlfn.XLOOKUP(B180,Cadastro_Acoes!A:A,Cadastro_Acoes!C:C)</f>
        <v>Fundos de índice</v>
      </c>
      <c r="F180" s="10" t="s">
        <v>63</v>
      </c>
      <c r="G180" s="11">
        <f>_xlfn.XLOOKUP(A180,Historico_Cota!A:A,Historico_Cota!C:C)</f>
        <v>124137.64</v>
      </c>
    </row>
    <row r="181" spans="1:7" x14ac:dyDescent="0.3">
      <c r="A181" s="9">
        <v>45838</v>
      </c>
      <c r="B181" s="10" t="s">
        <v>32</v>
      </c>
      <c r="C181" s="11">
        <v>13689</v>
      </c>
      <c r="D181" s="41">
        <f t="shared" si="22"/>
        <v>0.11027275852835611</v>
      </c>
      <c r="E181" s="10" t="str">
        <f>_xlfn.XLOOKUP(B181,Cadastro_Acoes!A:A,Cadastro_Acoes!C:C)</f>
        <v>Mineração</v>
      </c>
      <c r="F181" s="10" t="s">
        <v>63</v>
      </c>
      <c r="G181" s="11">
        <f>_xlfn.XLOOKUP(A181,Historico_Cota!A:A,Historico_Cota!C:C)</f>
        <v>124137.64</v>
      </c>
    </row>
    <row r="182" spans="1:7" x14ac:dyDescent="0.3">
      <c r="A182" s="12">
        <v>45838</v>
      </c>
      <c r="B182" s="13" t="s">
        <v>33</v>
      </c>
      <c r="C182" s="14">
        <v>17162.8</v>
      </c>
      <c r="D182" s="42">
        <f t="shared" si="22"/>
        <v>0.13825621302289942</v>
      </c>
      <c r="E182" s="13" t="str">
        <f>_xlfn.XLOOKUP(B182,Cadastro_Acoes!A:A,Cadastro_Acoes!C:C)</f>
        <v>Caixa</v>
      </c>
      <c r="F182" s="13" t="s">
        <v>59</v>
      </c>
      <c r="G182" s="14">
        <f>_xlfn.XLOOKUP(A182,Historico_Cota!A:A,Historico_Cota!C:C)</f>
        <v>124137.64</v>
      </c>
    </row>
    <row r="183" spans="1:7" x14ac:dyDescent="0.3">
      <c r="A183" s="9">
        <v>46104</v>
      </c>
      <c r="B183" s="10" t="s">
        <v>79</v>
      </c>
      <c r="C183" s="11">
        <v>15379</v>
      </c>
      <c r="D183" s="41">
        <f>C183/G183</f>
        <v>8.9858462550277712E-2</v>
      </c>
      <c r="E183" s="10" t="str">
        <f>_xlfn.XLOOKUP(B183,Cadastro_Acoes!A:A,Cadastro_Acoes!C:C)</f>
        <v>Energia Elétrica</v>
      </c>
      <c r="F183" s="10" t="s">
        <v>63</v>
      </c>
      <c r="G183" s="11">
        <f>_xlfn.XLOOKUP(A183,Historico_Cota!A:A,Historico_Cota!C:C)</f>
        <v>171146.93</v>
      </c>
    </row>
    <row r="184" spans="1:7" x14ac:dyDescent="0.3">
      <c r="A184" s="9">
        <v>46104</v>
      </c>
      <c r="B184" s="10" t="s">
        <v>24</v>
      </c>
      <c r="C184" s="11">
        <v>14447.88</v>
      </c>
      <c r="D184" s="41">
        <f t="shared" si="22"/>
        <v>8.4417991020931546E-2</v>
      </c>
      <c r="E184" s="10" t="str">
        <f>_xlfn.XLOOKUP(B184,Cadastro_Acoes!A:A,Cadastro_Acoes!C:C)</f>
        <v>Intermediários Financeiros</v>
      </c>
      <c r="F184" s="10" t="s">
        <v>63</v>
      </c>
      <c r="G184" s="11">
        <f>_xlfn.XLOOKUP(A184,Historico_Cota!A:A,Historico_Cota!C:C)</f>
        <v>171146.93</v>
      </c>
    </row>
    <row r="185" spans="1:7" x14ac:dyDescent="0.3">
      <c r="A185" s="9">
        <v>46104</v>
      </c>
      <c r="B185" s="10" t="s">
        <v>25</v>
      </c>
      <c r="C185" s="11">
        <v>12543.3</v>
      </c>
      <c r="D185" s="41">
        <f t="shared" si="22"/>
        <v>7.3289658190187804E-2</v>
      </c>
      <c r="E185" s="10" t="str">
        <f>_xlfn.XLOOKUP(B185,Cadastro_Acoes!A:A,Cadastro_Acoes!C:C)</f>
        <v>Previdência e Seguros</v>
      </c>
      <c r="F185" s="10" t="s">
        <v>63</v>
      </c>
      <c r="G185" s="11">
        <f>_xlfn.XLOOKUP(A185,Historico_Cota!A:A,Historico_Cota!C:C)</f>
        <v>171146.93</v>
      </c>
    </row>
    <row r="186" spans="1:7" x14ac:dyDescent="0.3">
      <c r="A186" s="9">
        <v>46104</v>
      </c>
      <c r="B186" s="10" t="s">
        <v>26</v>
      </c>
      <c r="C186" s="11">
        <v>17121.3</v>
      </c>
      <c r="D186" s="41">
        <f t="shared" si="22"/>
        <v>0.10003860425658818</v>
      </c>
      <c r="E186" s="10" t="str">
        <f>_xlfn.XLOOKUP(B186,Cadastro_Acoes!A:A,Cadastro_Acoes!C:C)</f>
        <v>Intermediários Financeiros</v>
      </c>
      <c r="F186" s="10" t="s">
        <v>63</v>
      </c>
      <c r="G186" s="11">
        <f>_xlfn.XLOOKUP(A186,Historico_Cota!A:A,Historico_Cota!C:C)</f>
        <v>171146.93</v>
      </c>
    </row>
    <row r="187" spans="1:7" x14ac:dyDescent="0.3">
      <c r="A187" s="9">
        <v>46104</v>
      </c>
      <c r="B187" s="10" t="s">
        <v>27</v>
      </c>
      <c r="C187" s="11">
        <v>12243.1</v>
      </c>
      <c r="D187" s="41">
        <f t="shared" si="22"/>
        <v>7.1535609782775539E-2</v>
      </c>
      <c r="E187" s="10" t="str">
        <f>_xlfn.XLOOKUP(B187,Cadastro_Acoes!A:A,Cadastro_Acoes!C:C)</f>
        <v>Energia Elétrica</v>
      </c>
      <c r="F187" s="10" t="s">
        <v>63</v>
      </c>
      <c r="G187" s="11">
        <f>_xlfn.XLOOKUP(A187,Historico_Cota!A:A,Historico_Cota!C:C)</f>
        <v>171146.93</v>
      </c>
    </row>
    <row r="188" spans="1:7" x14ac:dyDescent="0.3">
      <c r="A188" s="9">
        <v>46104</v>
      </c>
      <c r="B188" s="10" t="s">
        <v>89</v>
      </c>
      <c r="C188" s="11">
        <f>12068.8+2768.5</f>
        <v>14837.3</v>
      </c>
      <c r="D188" s="41">
        <f t="shared" si="22"/>
        <v>8.6693345887069076E-2</v>
      </c>
      <c r="E188" s="10" t="str">
        <f>_xlfn.XLOOKUP(B188,Cadastro_Acoes!A:A,Cadastro_Acoes!C:C)</f>
        <v>Energia Elétrica</v>
      </c>
      <c r="F188" s="10" t="s">
        <v>63</v>
      </c>
      <c r="G188" s="11">
        <f>_xlfn.XLOOKUP(A188,Historico_Cota!A:A,Historico_Cota!C:C)</f>
        <v>171146.93</v>
      </c>
    </row>
    <row r="189" spans="1:7" x14ac:dyDescent="0.3">
      <c r="A189" s="9">
        <v>46104</v>
      </c>
      <c r="B189" s="10" t="s">
        <v>29</v>
      </c>
      <c r="C189" s="11">
        <v>5820</v>
      </c>
      <c r="D189" s="41">
        <f>C189/G189</f>
        <v>3.4005868524781602E-2</v>
      </c>
      <c r="E189" s="10" t="str">
        <f>_xlfn.XLOOKUP(B189,Cadastro_Acoes!A:A,Cadastro_Acoes!C:C)</f>
        <v>Fundos de índice</v>
      </c>
      <c r="F189" s="10" t="s">
        <v>63</v>
      </c>
      <c r="G189" s="11">
        <f>_xlfn.XLOOKUP(A189,Historico_Cota!A:A,Historico_Cota!C:C)</f>
        <v>171146.93</v>
      </c>
    </row>
    <row r="190" spans="1:7" x14ac:dyDescent="0.3">
      <c r="A190" s="9">
        <v>46104</v>
      </c>
      <c r="B190" s="10" t="s">
        <v>85</v>
      </c>
      <c r="C190" s="11">
        <v>10500</v>
      </c>
      <c r="D190" s="41">
        <f>C190/G190</f>
        <v>6.135079373027609E-2</v>
      </c>
      <c r="E190" s="10" t="str">
        <f>_xlfn.XLOOKUP(B190,Cadastro_Acoes!A:A,Cadastro_Acoes!C:C)</f>
        <v>Bens Industriais</v>
      </c>
      <c r="F190" s="10" t="s">
        <v>63</v>
      </c>
      <c r="G190" s="11">
        <f>_xlfn.XLOOKUP(A190,Historico_Cota!A:A,Historico_Cota!C:C)</f>
        <v>171146.93</v>
      </c>
    </row>
    <row r="191" spans="1:7" x14ac:dyDescent="0.3">
      <c r="A191" s="9">
        <v>46104</v>
      </c>
      <c r="B191" s="10" t="s">
        <v>30</v>
      </c>
      <c r="C191" s="11">
        <v>26318.04</v>
      </c>
      <c r="D191" s="41">
        <f>C191/G191</f>
        <v>0.15377453746906242</v>
      </c>
      <c r="E191" s="10" t="str">
        <f>_xlfn.XLOOKUP(B191,Cadastro_Acoes!A:A,Cadastro_Acoes!C:C)</f>
        <v>Petróleo, Gás e Biocombustíveis</v>
      </c>
      <c r="F191" s="10" t="s">
        <v>63</v>
      </c>
      <c r="G191" s="11">
        <f>_xlfn.XLOOKUP(A191,Historico_Cota!A:A,Historico_Cota!C:C)</f>
        <v>171146.93</v>
      </c>
    </row>
    <row r="192" spans="1:7" x14ac:dyDescent="0.3">
      <c r="A192" s="9">
        <v>46104</v>
      </c>
      <c r="B192" s="10" t="s">
        <v>31</v>
      </c>
      <c r="C192" s="11">
        <v>6656.76</v>
      </c>
      <c r="D192" s="41">
        <f t="shared" ref="D192:D194" si="23">C192/G192</f>
        <v>3.8895000921138352E-2</v>
      </c>
      <c r="E192" s="10" t="str">
        <f>_xlfn.XLOOKUP(B192,Cadastro_Acoes!A:A,Cadastro_Acoes!C:C)</f>
        <v>Fundos de índice</v>
      </c>
      <c r="F192" s="10" t="s">
        <v>63</v>
      </c>
      <c r="G192" s="11">
        <f>_xlfn.XLOOKUP(A192,Historico_Cota!A:A,Historico_Cota!C:C)</f>
        <v>171146.93</v>
      </c>
    </row>
    <row r="193" spans="1:7" x14ac:dyDescent="0.3">
      <c r="A193" s="9">
        <v>46104</v>
      </c>
      <c r="B193" s="10" t="s">
        <v>32</v>
      </c>
      <c r="C193" s="11">
        <v>20147.400000000001</v>
      </c>
      <c r="D193" s="41">
        <f t="shared" si="23"/>
        <v>0.11771990300965376</v>
      </c>
      <c r="E193" s="10" t="str">
        <f>_xlfn.XLOOKUP(B193,Cadastro_Acoes!A:A,Cadastro_Acoes!C:C)</f>
        <v>Mineração</v>
      </c>
      <c r="F193" s="10" t="s">
        <v>63</v>
      </c>
      <c r="G193" s="11">
        <f>_xlfn.XLOOKUP(A193,Historico_Cota!A:A,Historico_Cota!C:C)</f>
        <v>171146.93</v>
      </c>
    </row>
    <row r="194" spans="1:7" x14ac:dyDescent="0.3">
      <c r="A194" s="9">
        <v>46104</v>
      </c>
      <c r="B194" s="13" t="s">
        <v>33</v>
      </c>
      <c r="C194" s="14">
        <f>11142.03+3384</f>
        <v>14526.03</v>
      </c>
      <c r="D194" s="42">
        <f t="shared" si="23"/>
        <v>8.4874616214266896E-2</v>
      </c>
      <c r="E194" s="13" t="str">
        <f>_xlfn.XLOOKUP(B194,Cadastro_Acoes!A:A,Cadastro_Acoes!C:C)</f>
        <v>Caixa</v>
      </c>
      <c r="F194" s="13" t="s">
        <v>59</v>
      </c>
      <c r="G194" s="14">
        <f>_xlfn.XLOOKUP(A194,Historico_Cota!A:A,Historico_Cota!C:C)</f>
        <v>171146.93</v>
      </c>
    </row>
  </sheetData>
  <autoFilter ref="A1:G45" xr:uid="{C9E8ED7A-067E-430E-AA1E-91607D7381E6}"/>
  <sortState xmlns:xlrd2="http://schemas.microsoft.com/office/spreadsheetml/2017/richdata2" ref="J2:P11">
    <sortCondition ref="M2:M11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1B25-6C8F-F748-8CCA-6626CB143EAE}">
  <dimension ref="A1:W19"/>
  <sheetViews>
    <sheetView workbookViewId="0"/>
  </sheetViews>
  <sheetFormatPr defaultColWidth="11.44140625" defaultRowHeight="14.4" x14ac:dyDescent="0.3"/>
  <cols>
    <col min="1" max="1" width="10.109375" bestFit="1" customWidth="1"/>
    <col min="5" max="5" width="25" bestFit="1" customWidth="1"/>
    <col min="9" max="9" width="10.88671875" style="3"/>
    <col min="10" max="10" width="10.88671875" style="92"/>
    <col min="22" max="22" width="12.6640625" bestFit="1" customWidth="1"/>
    <col min="23" max="23" width="18.88671875" bestFit="1" customWidth="1"/>
  </cols>
  <sheetData>
    <row r="1" spans="1:23" x14ac:dyDescent="0.3">
      <c r="A1" s="85" t="s">
        <v>16</v>
      </c>
      <c r="B1" s="85" t="s">
        <v>18</v>
      </c>
      <c r="C1" s="86" t="s">
        <v>19</v>
      </c>
      <c r="D1" s="87" t="s">
        <v>61</v>
      </c>
      <c r="E1" s="85" t="s">
        <v>21</v>
      </c>
      <c r="F1" s="85" t="s">
        <v>62</v>
      </c>
      <c r="G1" s="86" t="s">
        <v>20</v>
      </c>
      <c r="H1" t="s">
        <v>73</v>
      </c>
      <c r="I1" s="3" t="s">
        <v>74</v>
      </c>
      <c r="J1" s="92" t="s">
        <v>76</v>
      </c>
      <c r="K1" t="s">
        <v>77</v>
      </c>
      <c r="L1" t="s">
        <v>78</v>
      </c>
      <c r="P1" t="s">
        <v>21</v>
      </c>
      <c r="Q1" t="s">
        <v>81</v>
      </c>
      <c r="R1" t="s">
        <v>82</v>
      </c>
    </row>
    <row r="2" spans="1:23" x14ac:dyDescent="0.3">
      <c r="A2" s="9">
        <v>45798</v>
      </c>
      <c r="B2" s="10" t="s">
        <v>24</v>
      </c>
      <c r="C2" s="11">
        <v>12857.34</v>
      </c>
      <c r="D2" s="41">
        <f t="shared" ref="D2:D7" si="0">C2/G2</f>
        <v>0.10435304728893376</v>
      </c>
      <c r="E2" s="10" t="str">
        <f>_xlfn.XLOOKUP(B2,Cadastro_Acoes!A:A,Cadastro_Acoes!C:C)</f>
        <v>Intermediários Financeiros</v>
      </c>
      <c r="F2" s="10" t="s">
        <v>63</v>
      </c>
      <c r="G2" s="11">
        <f>_xlfn.XLOOKUP(A2,Historico_Cota!A:A,Historico_Cota!C:C)</f>
        <v>123210.01</v>
      </c>
      <c r="H2" s="3">
        <v>509</v>
      </c>
      <c r="I2" s="3">
        <f>C2/H2</f>
        <v>25.26</v>
      </c>
      <c r="J2" s="102">
        <v>0.115</v>
      </c>
      <c r="K2" s="3">
        <f>G2*J2/I2</f>
        <v>560.93234956452886</v>
      </c>
      <c r="L2" s="3">
        <f>K2-H2</f>
        <v>51.932349564528863</v>
      </c>
      <c r="M2" s="2">
        <f>J2*G2</f>
        <v>14169.15115</v>
      </c>
      <c r="N2" s="2">
        <f>J2*D2</f>
        <v>1.2000600438227383E-2</v>
      </c>
      <c r="O2" s="103">
        <f>N2*D2</f>
        <v>1.2522992250259414E-3</v>
      </c>
      <c r="P2" t="str" cm="1">
        <f t="array" ref="P2:P7">_xlfn.UNIQUE(E2:E11)</f>
        <v>Intermediários Financeiros</v>
      </c>
      <c r="Q2" s="3" cm="1">
        <f t="array" ref="Q2:Q7">SUMIF(E:E,_xlfn.ANCHORARRAY(P2),C:C)</f>
        <v>29780.46</v>
      </c>
      <c r="R2" s="3" cm="1">
        <f t="array" ref="R2:R7">SUMIF(E:E,_xlfn.ANCHORARRAY(P2),M:M)</f>
        <v>27722.252249999998</v>
      </c>
    </row>
    <row r="3" spans="1:23" x14ac:dyDescent="0.3">
      <c r="A3" s="9">
        <v>45798</v>
      </c>
      <c r="B3" s="10" t="s">
        <v>25</v>
      </c>
      <c r="C3" s="11">
        <v>6783.58</v>
      </c>
      <c r="D3" s="41">
        <f t="shared" si="0"/>
        <v>5.5057052588503158E-2</v>
      </c>
      <c r="E3" s="10" t="str">
        <f>_xlfn.XLOOKUP(B3,Cadastro_Acoes!A:A,Cadastro_Acoes!C:C)</f>
        <v>Previdência e Seguros</v>
      </c>
      <c r="F3" s="10" t="s">
        <v>63</v>
      </c>
      <c r="G3" s="11">
        <f>_xlfn.XLOOKUP(A3,Historico_Cota!A:A,Historico_Cota!C:C)</f>
        <v>123210.01</v>
      </c>
      <c r="H3" s="3">
        <v>178</v>
      </c>
      <c r="I3" s="3">
        <f t="shared" ref="I3:I10" si="1">C3/H3</f>
        <v>38.11</v>
      </c>
      <c r="J3" s="102">
        <v>0.05</v>
      </c>
      <c r="K3" s="3">
        <f t="shared" ref="K3:K10" si="2">G3*J3/I3</f>
        <v>161.65049855680925</v>
      </c>
      <c r="L3" s="3">
        <f t="shared" ref="L3:L10" si="3">K3-H3</f>
        <v>-16.349501443190746</v>
      </c>
      <c r="M3" s="2">
        <f t="shared" ref="M3:M10" si="4">J3*G3</f>
        <v>6160.5005000000001</v>
      </c>
      <c r="N3" s="2">
        <f t="shared" ref="N3:N11" si="5">J3*D3</f>
        <v>2.7528526294251579E-3</v>
      </c>
      <c r="O3" s="84"/>
      <c r="P3" s="1" t="str">
        <v>Previdência e Seguros</v>
      </c>
      <c r="Q3" s="3">
        <v>6783.58</v>
      </c>
      <c r="R3" s="3">
        <v>6160.5005000000001</v>
      </c>
    </row>
    <row r="4" spans="1:23" x14ac:dyDescent="0.3">
      <c r="A4" s="9">
        <v>45798</v>
      </c>
      <c r="B4" s="10" t="s">
        <v>26</v>
      </c>
      <c r="C4" s="11">
        <v>16923.12</v>
      </c>
      <c r="D4" s="41">
        <f t="shared" si="0"/>
        <v>0.13735182717702887</v>
      </c>
      <c r="E4" s="10" t="str">
        <f>_xlfn.XLOOKUP(B4,Cadastro_Acoes!A:A,Cadastro_Acoes!C:C)</f>
        <v>Intermediários Financeiros</v>
      </c>
      <c r="F4" s="10" t="s">
        <v>63</v>
      </c>
      <c r="G4" s="11">
        <f>_xlfn.XLOOKUP(A4,Historico_Cota!A:A,Historico_Cota!C:C)</f>
        <v>123210.01</v>
      </c>
      <c r="H4" s="3">
        <v>428</v>
      </c>
      <c r="I4" s="3">
        <f t="shared" si="1"/>
        <v>39.54</v>
      </c>
      <c r="J4" s="102">
        <v>0.11</v>
      </c>
      <c r="K4" s="3">
        <f t="shared" si="2"/>
        <v>342.76937531613555</v>
      </c>
      <c r="L4" s="3">
        <f t="shared" si="3"/>
        <v>-85.230624683864448</v>
      </c>
      <c r="M4" s="2">
        <f t="shared" si="4"/>
        <v>13553.1011</v>
      </c>
      <c r="N4" s="2">
        <f t="shared" si="5"/>
        <v>1.5108700989473176E-2</v>
      </c>
      <c r="P4" t="str">
        <v>Energia Elétrica</v>
      </c>
      <c r="Q4" s="3">
        <v>27655.83</v>
      </c>
      <c r="R4" s="3">
        <v>29570.402400000003</v>
      </c>
    </row>
    <row r="5" spans="1:23" x14ac:dyDescent="0.3">
      <c r="A5" s="9">
        <v>45798</v>
      </c>
      <c r="B5" s="10" t="s">
        <v>27</v>
      </c>
      <c r="C5" s="11">
        <v>11819.52</v>
      </c>
      <c r="D5" s="41">
        <f t="shared" si="0"/>
        <v>9.5929868035884436E-2</v>
      </c>
      <c r="E5" s="10" t="str">
        <f>_xlfn.XLOOKUP(B5,Cadastro_Acoes!A:A,Cadastro_Acoes!C:C)</f>
        <v>Energia Elétrica</v>
      </c>
      <c r="F5" s="10" t="s">
        <v>63</v>
      </c>
      <c r="G5" s="11">
        <f>_xlfn.XLOOKUP(A5,Historico_Cota!A:A,Historico_Cota!C:C)</f>
        <v>123210.01</v>
      </c>
      <c r="H5" s="3">
        <v>288</v>
      </c>
      <c r="I5" s="3">
        <f t="shared" si="1"/>
        <v>41.04</v>
      </c>
      <c r="J5" s="102">
        <v>7.0000000000000007E-2</v>
      </c>
      <c r="K5" s="3">
        <f t="shared" si="2"/>
        <v>210.15352582846006</v>
      </c>
      <c r="L5" s="3">
        <f t="shared" si="3"/>
        <v>-77.846474171539938</v>
      </c>
      <c r="M5" s="2">
        <f t="shared" si="4"/>
        <v>8624.7007000000012</v>
      </c>
      <c r="N5" s="2">
        <f t="shared" si="5"/>
        <v>6.7150907625119112E-3</v>
      </c>
      <c r="P5" t="str">
        <v>Fundos de índice</v>
      </c>
      <c r="Q5" s="3">
        <v>13948.04</v>
      </c>
      <c r="R5" s="3">
        <v>11088.900899999999</v>
      </c>
    </row>
    <row r="6" spans="1:23" x14ac:dyDescent="0.3">
      <c r="A6" s="9">
        <v>45798</v>
      </c>
      <c r="B6" s="10" t="s">
        <v>28</v>
      </c>
      <c r="C6" s="11">
        <v>15836.31</v>
      </c>
      <c r="D6" s="41">
        <f t="shared" si="0"/>
        <v>0.12853103412620451</v>
      </c>
      <c r="E6" s="10" t="str">
        <f>_xlfn.XLOOKUP(B6,Cadastro_Acoes!A:A,Cadastro_Acoes!C:C)</f>
        <v>Energia Elétrica</v>
      </c>
      <c r="F6" s="10" t="s">
        <v>63</v>
      </c>
      <c r="G6" s="11">
        <f>_xlfn.XLOOKUP(A6,Historico_Cota!A:A,Historico_Cota!C:C)</f>
        <v>123210.01</v>
      </c>
      <c r="H6" s="3">
        <v>343</v>
      </c>
      <c r="I6" s="3">
        <f t="shared" si="1"/>
        <v>46.17</v>
      </c>
      <c r="J6" s="102">
        <v>7.0000000000000007E-2</v>
      </c>
      <c r="K6" s="3">
        <f t="shared" si="2"/>
        <v>186.80313406974227</v>
      </c>
      <c r="L6" s="3">
        <f t="shared" si="3"/>
        <v>-156.19686593025773</v>
      </c>
      <c r="M6" s="2">
        <f t="shared" si="4"/>
        <v>8624.7007000000012</v>
      </c>
      <c r="N6" s="2">
        <f t="shared" si="5"/>
        <v>8.9971723888343166E-3</v>
      </c>
      <c r="P6" t="str">
        <v>Petróleo, Gás e Biocombustíveis</v>
      </c>
      <c r="Q6" s="3">
        <v>16774.5</v>
      </c>
      <c r="R6" s="3">
        <v>14785.2012</v>
      </c>
    </row>
    <row r="7" spans="1:23" x14ac:dyDescent="0.3">
      <c r="A7" s="9">
        <v>45798</v>
      </c>
      <c r="B7" s="10" t="s">
        <v>29</v>
      </c>
      <c r="C7" s="11">
        <v>7026.2</v>
      </c>
      <c r="D7" s="41">
        <f t="shared" si="0"/>
        <v>5.702621077621859E-2</v>
      </c>
      <c r="E7" s="10" t="str">
        <f>_xlfn.XLOOKUP(B7,Cadastro_Acoes!A:A,Cadastro_Acoes!C:C)</f>
        <v>Fundos de índice</v>
      </c>
      <c r="F7" s="10" t="s">
        <v>63</v>
      </c>
      <c r="G7" s="11">
        <f>_xlfn.XLOOKUP(A7,Historico_Cota!A:A,Historico_Cota!C:C)</f>
        <v>123210.01</v>
      </c>
      <c r="H7" s="3">
        <v>19</v>
      </c>
      <c r="I7" s="3">
        <f t="shared" si="1"/>
        <v>369.8</v>
      </c>
      <c r="J7" s="102">
        <v>4.4999999999999998E-2</v>
      </c>
      <c r="K7" s="3">
        <f t="shared" si="2"/>
        <v>14.993105597620334</v>
      </c>
      <c r="L7" s="3">
        <f t="shared" si="3"/>
        <v>-4.0068944023796664</v>
      </c>
      <c r="M7" s="2">
        <f t="shared" si="4"/>
        <v>5544.4504499999994</v>
      </c>
      <c r="N7" s="2">
        <f t="shared" si="5"/>
        <v>2.5661794849298363E-3</v>
      </c>
      <c r="P7" t="str">
        <v>Mineração</v>
      </c>
      <c r="Q7" s="3">
        <v>13933.2</v>
      </c>
      <c r="R7" s="3">
        <v>14169.15115</v>
      </c>
    </row>
    <row r="8" spans="1:23" x14ac:dyDescent="0.3">
      <c r="A8" s="9">
        <v>45798</v>
      </c>
      <c r="B8" s="10" t="s">
        <v>30</v>
      </c>
      <c r="C8" s="11">
        <v>16774.5</v>
      </c>
      <c r="D8" s="41">
        <f>C8/G8</f>
        <v>0.13614559401464216</v>
      </c>
      <c r="E8" s="10" t="str">
        <f>_xlfn.XLOOKUP(B8,Cadastro_Acoes!A:A,Cadastro_Acoes!C:C)</f>
        <v>Petróleo, Gás e Biocombustíveis</v>
      </c>
      <c r="F8" s="10" t="s">
        <v>63</v>
      </c>
      <c r="G8" s="11">
        <f>_xlfn.XLOOKUP(A8,Historico_Cota!A:A,Historico_Cota!C:C)</f>
        <v>123210.01</v>
      </c>
      <c r="H8" s="3">
        <v>422</v>
      </c>
      <c r="I8" s="3">
        <f t="shared" si="1"/>
        <v>39.75</v>
      </c>
      <c r="J8" s="102">
        <v>0.12</v>
      </c>
      <c r="K8" s="3">
        <f t="shared" si="2"/>
        <v>371.9547471698113</v>
      </c>
      <c r="L8" s="3">
        <f t="shared" si="3"/>
        <v>-50.045252830188701</v>
      </c>
      <c r="M8" s="2">
        <f t="shared" si="4"/>
        <v>14785.2012</v>
      </c>
      <c r="N8" s="2">
        <f t="shared" si="5"/>
        <v>1.6337471281757058E-2</v>
      </c>
    </row>
    <row r="9" spans="1:23" x14ac:dyDescent="0.3">
      <c r="A9" s="9">
        <v>45798</v>
      </c>
      <c r="B9" s="10" t="s">
        <v>31</v>
      </c>
      <c r="C9" s="11">
        <v>6921.84</v>
      </c>
      <c r="D9" s="41">
        <f t="shared" ref="D9:D12" si="6">C9/G9</f>
        <v>5.6179201673630254E-2</v>
      </c>
      <c r="E9" s="10" t="str">
        <f>_xlfn.XLOOKUP(B9,Cadastro_Acoes!A:A,Cadastro_Acoes!C:C)</f>
        <v>Fundos de índice</v>
      </c>
      <c r="F9" s="10" t="s">
        <v>63</v>
      </c>
      <c r="G9" s="11">
        <f>_xlfn.XLOOKUP(A9,Historico_Cota!A:A,Historico_Cota!C:C)</f>
        <v>123210.01</v>
      </c>
      <c r="H9" s="3">
        <v>453</v>
      </c>
      <c r="I9" s="3">
        <f t="shared" si="1"/>
        <v>15.280000000000001</v>
      </c>
      <c r="J9" s="102">
        <v>4.4999999999999998E-2</v>
      </c>
      <c r="K9" s="3">
        <f t="shared" si="2"/>
        <v>362.85670484293189</v>
      </c>
      <c r="L9" s="3">
        <f t="shared" si="3"/>
        <v>-90.14329515706811</v>
      </c>
      <c r="M9" s="2">
        <f t="shared" si="4"/>
        <v>5544.4504499999994</v>
      </c>
      <c r="N9" s="2">
        <f t="shared" si="5"/>
        <v>2.5280640753133615E-3</v>
      </c>
      <c r="O9" s="84"/>
      <c r="P9" s="84"/>
    </row>
    <row r="10" spans="1:23" x14ac:dyDescent="0.3">
      <c r="A10" s="9">
        <v>45798</v>
      </c>
      <c r="B10" s="10" t="s">
        <v>32</v>
      </c>
      <c r="C10" s="11">
        <v>13933.2</v>
      </c>
      <c r="D10" s="41">
        <f t="shared" si="6"/>
        <v>0.113084967690531</v>
      </c>
      <c r="E10" s="10" t="str">
        <f>_xlfn.XLOOKUP(B10,Cadastro_Acoes!A:A,Cadastro_Acoes!C:C)</f>
        <v>Mineração</v>
      </c>
      <c r="F10" s="10" t="s">
        <v>63</v>
      </c>
      <c r="G10" s="11">
        <f>_xlfn.XLOOKUP(A10,Historico_Cota!A:A,Historico_Cota!C:C)</f>
        <v>123210.01</v>
      </c>
      <c r="H10" s="3">
        <v>255</v>
      </c>
      <c r="I10" s="3">
        <f t="shared" si="1"/>
        <v>54.64</v>
      </c>
      <c r="J10" s="102">
        <v>0.115</v>
      </c>
      <c r="K10" s="3">
        <f t="shared" si="2"/>
        <v>259.31828605417275</v>
      </c>
      <c r="L10" s="3">
        <f t="shared" si="3"/>
        <v>4.318286054172745</v>
      </c>
      <c r="M10" s="2">
        <f t="shared" si="4"/>
        <v>14169.15115</v>
      </c>
      <c r="N10" s="2">
        <f t="shared" si="5"/>
        <v>1.3004771284411066E-2</v>
      </c>
    </row>
    <row r="11" spans="1:23" x14ac:dyDescent="0.3">
      <c r="A11" s="9">
        <v>45798</v>
      </c>
      <c r="B11" s="10" t="s">
        <v>79</v>
      </c>
      <c r="C11" s="11">
        <v>0</v>
      </c>
      <c r="D11" s="41">
        <f t="shared" ref="D11" si="7">C11/G11</f>
        <v>0</v>
      </c>
      <c r="E11" s="10" t="str">
        <f>_xlfn.XLOOKUP(B11,Cadastro_Acoes!A:A,Cadastro_Acoes!C:C)</f>
        <v>Energia Elétrica</v>
      </c>
      <c r="F11" s="10" t="s">
        <v>63</v>
      </c>
      <c r="G11" s="11">
        <f>_xlfn.XLOOKUP(A11,Historico_Cota!A:A,Historico_Cota!C:C)</f>
        <v>123210.01</v>
      </c>
      <c r="H11" s="3">
        <v>0</v>
      </c>
      <c r="I11" s="3">
        <v>9.39</v>
      </c>
      <c r="J11" s="102">
        <v>0.1</v>
      </c>
      <c r="K11" s="3">
        <f t="shared" ref="K11" si="8">G11*J11/I11</f>
        <v>1312.1406815761447</v>
      </c>
      <c r="L11" s="3">
        <f t="shared" ref="L11" si="9">K11-H11</f>
        <v>1312.1406815761447</v>
      </c>
      <c r="M11" s="2">
        <f>J11*G11</f>
        <v>12321.001</v>
      </c>
      <c r="N11" s="2">
        <f t="shared" si="5"/>
        <v>0</v>
      </c>
    </row>
    <row r="12" spans="1:23" x14ac:dyDescent="0.3">
      <c r="A12" s="9">
        <v>45798</v>
      </c>
      <c r="B12" s="13" t="s">
        <v>33</v>
      </c>
      <c r="C12" s="14">
        <v>13513.32</v>
      </c>
      <c r="D12" s="42">
        <f t="shared" si="6"/>
        <v>0.10967712769441379</v>
      </c>
      <c r="E12" s="13" t="str">
        <f>_xlfn.XLOOKUP(B12,Cadastro_Acoes!A:A,Cadastro_Acoes!C:C)</f>
        <v>Caixa</v>
      </c>
      <c r="F12" s="13" t="s">
        <v>59</v>
      </c>
      <c r="G12" s="14">
        <f>_xlfn.XLOOKUP(A12,Historico_Cota!A:A,Historico_Cota!C:C)</f>
        <v>123210.01</v>
      </c>
      <c r="H12" t="s">
        <v>75</v>
      </c>
      <c r="I12" s="3" t="s">
        <v>75</v>
      </c>
      <c r="J12" s="94">
        <f>SUM(J2:J11)</f>
        <v>0.84000000000000008</v>
      </c>
      <c r="M12" s="2"/>
      <c r="N12" s="2"/>
    </row>
    <row r="13" spans="1:23" x14ac:dyDescent="0.3">
      <c r="D13" s="93">
        <f>SUM(D2:D10)</f>
        <v>0.88365880337157665</v>
      </c>
      <c r="V13" s="3"/>
      <c r="W13" s="3"/>
    </row>
    <row r="14" spans="1:23" x14ac:dyDescent="0.3">
      <c r="W14" s="3"/>
    </row>
    <row r="15" spans="1:23" x14ac:dyDescent="0.3">
      <c r="W15" s="101"/>
    </row>
    <row r="16" spans="1:23" x14ac:dyDescent="0.3">
      <c r="W16" s="3"/>
    </row>
    <row r="18" spans="23:23" x14ac:dyDescent="0.3">
      <c r="W18" s="3"/>
    </row>
    <row r="19" spans="23:23" x14ac:dyDescent="0.3">
      <c r="W19" s="3"/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629D-6DE0-46FD-B578-14B10353174E}">
  <dimension ref="A1:S30"/>
  <sheetViews>
    <sheetView showGridLines="0" topLeftCell="A10" workbookViewId="0">
      <selection activeCell="C23" sqref="C23"/>
    </sheetView>
  </sheetViews>
  <sheetFormatPr defaultColWidth="8.88671875" defaultRowHeight="14.4" x14ac:dyDescent="0.3"/>
  <cols>
    <col min="1" max="1" width="12.33203125" bestFit="1" customWidth="1"/>
    <col min="2" max="13" width="10.44140625" bestFit="1" customWidth="1"/>
    <col min="14" max="15" width="8.109375" bestFit="1" customWidth="1"/>
  </cols>
  <sheetData>
    <row r="1" spans="1:18" hidden="1" x14ac:dyDescent="0.3"/>
    <row r="2" spans="1:18" hidden="1" x14ac:dyDescent="0.3">
      <c r="B2" s="47">
        <v>45292</v>
      </c>
      <c r="C2" s="47">
        <f>EOMONTH(B2,0+1)</f>
        <v>45351</v>
      </c>
      <c r="D2" s="47">
        <f t="shared" ref="D2" si="0">EOMONTH(C2,0+1)</f>
        <v>45382</v>
      </c>
      <c r="E2" s="47">
        <f t="shared" ref="E2" si="1">EOMONTH(D2,0+1)</f>
        <v>45412</v>
      </c>
      <c r="F2" s="47">
        <f t="shared" ref="F2" si="2">EOMONTH(E2,0+1)</f>
        <v>45443</v>
      </c>
      <c r="G2" s="47">
        <f t="shared" ref="G2" si="3">EOMONTH(F2,0+1)</f>
        <v>45473</v>
      </c>
      <c r="H2" s="47">
        <f t="shared" ref="H2" si="4">EOMONTH(G2,0+1)</f>
        <v>45504</v>
      </c>
      <c r="I2" s="47">
        <f t="shared" ref="I2" si="5">EOMONTH(H2,0+1)</f>
        <v>45535</v>
      </c>
      <c r="J2" s="47">
        <f t="shared" ref="J2" si="6">EOMONTH(I2,0+1)</f>
        <v>45565</v>
      </c>
      <c r="K2" s="47">
        <f t="shared" ref="K2" si="7">EOMONTH(J2,0+1)</f>
        <v>45596</v>
      </c>
      <c r="L2" s="47">
        <f t="shared" ref="L2" si="8">EOMONTH(K2,0+1)</f>
        <v>45626</v>
      </c>
      <c r="M2" s="47">
        <f t="shared" ref="M2" si="9">EOMONTH(L2,0+1)</f>
        <v>45657</v>
      </c>
      <c r="N2" s="47"/>
      <c r="O2" s="47"/>
    </row>
    <row r="3" spans="1:18" hidden="1" x14ac:dyDescent="0.3">
      <c r="B3" s="47" t="str">
        <f>TEXT(B2,"mmaaaa")</f>
        <v>012024</v>
      </c>
      <c r="C3" s="47" t="str">
        <f t="shared" ref="C3:M3" si="10">TEXT(C2,"mmaaaa")</f>
        <v>022024</v>
      </c>
      <c r="D3" s="47" t="str">
        <f t="shared" si="10"/>
        <v>032024</v>
      </c>
      <c r="E3" s="47" t="str">
        <f t="shared" si="10"/>
        <v>042024</v>
      </c>
      <c r="F3" s="47" t="str">
        <f t="shared" si="10"/>
        <v>052024</v>
      </c>
      <c r="G3" s="47" t="str">
        <f t="shared" si="10"/>
        <v>062024</v>
      </c>
      <c r="H3" s="47" t="str">
        <f t="shared" si="10"/>
        <v>072024</v>
      </c>
      <c r="I3" s="47" t="str">
        <f t="shared" si="10"/>
        <v>082024</v>
      </c>
      <c r="J3" s="47" t="str">
        <f t="shared" si="10"/>
        <v>092024</v>
      </c>
      <c r="K3" s="47" t="str">
        <f t="shared" si="10"/>
        <v>102024</v>
      </c>
      <c r="L3" s="47" t="str">
        <f t="shared" si="10"/>
        <v>112024</v>
      </c>
      <c r="M3" s="47" t="str">
        <f t="shared" si="10"/>
        <v>122024</v>
      </c>
      <c r="N3" s="47"/>
      <c r="O3" s="47"/>
    </row>
    <row r="4" spans="1:18" hidden="1" x14ac:dyDescent="0.3"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</row>
    <row r="5" spans="1:18" hidden="1" x14ac:dyDescent="0.3">
      <c r="B5" s="47">
        <v>45658</v>
      </c>
      <c r="C5" s="47">
        <f>EOMONTH(B5,0+1)</f>
        <v>45716</v>
      </c>
      <c r="D5" s="47">
        <f t="shared" ref="D5:M5" si="11">EOMONTH(C5,0+1)</f>
        <v>45747</v>
      </c>
      <c r="E5" s="47">
        <f t="shared" si="11"/>
        <v>45777</v>
      </c>
      <c r="F5" s="47">
        <f t="shared" si="11"/>
        <v>45808</v>
      </c>
      <c r="G5" s="47">
        <f t="shared" si="11"/>
        <v>45838</v>
      </c>
      <c r="H5" s="47">
        <f t="shared" si="11"/>
        <v>45869</v>
      </c>
      <c r="I5" s="47">
        <f t="shared" si="11"/>
        <v>45900</v>
      </c>
      <c r="J5" s="47">
        <f t="shared" si="11"/>
        <v>45930</v>
      </c>
      <c r="K5" s="47">
        <f t="shared" si="11"/>
        <v>45961</v>
      </c>
      <c r="L5" s="47">
        <f t="shared" si="11"/>
        <v>45991</v>
      </c>
      <c r="M5" s="47">
        <f t="shared" si="11"/>
        <v>46022</v>
      </c>
      <c r="N5" s="47"/>
      <c r="O5" s="47"/>
    </row>
    <row r="6" spans="1:18" hidden="1" x14ac:dyDescent="0.3">
      <c r="B6" s="47" t="str">
        <f>TEXT(B5,"mmaaaa")</f>
        <v>012025</v>
      </c>
      <c r="C6" s="47" t="str">
        <f t="shared" ref="C6:M6" si="12">TEXT(C5,"mmaaaa")</f>
        <v>022025</v>
      </c>
      <c r="D6" s="47" t="str">
        <f t="shared" si="12"/>
        <v>032025</v>
      </c>
      <c r="E6" s="47" t="str">
        <f t="shared" si="12"/>
        <v>042025</v>
      </c>
      <c r="F6" s="47" t="str">
        <f t="shared" si="12"/>
        <v>052025</v>
      </c>
      <c r="G6" s="47" t="str">
        <f>TEXT(G5,"mmaaaa")</f>
        <v>062025</v>
      </c>
      <c r="H6" s="47" t="str">
        <f t="shared" si="12"/>
        <v>072025</v>
      </c>
      <c r="I6" s="47" t="str">
        <f t="shared" si="12"/>
        <v>082025</v>
      </c>
      <c r="J6" s="47" t="str">
        <f t="shared" si="12"/>
        <v>092025</v>
      </c>
      <c r="K6" s="47" t="str">
        <f t="shared" si="12"/>
        <v>102025</v>
      </c>
      <c r="L6" s="47" t="str">
        <f t="shared" si="12"/>
        <v>112025</v>
      </c>
      <c r="M6" s="47" t="str">
        <f t="shared" si="12"/>
        <v>122025</v>
      </c>
      <c r="N6" s="47"/>
      <c r="O6" s="47"/>
    </row>
    <row r="7" spans="1:18" hidden="1" x14ac:dyDescent="0.3"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</row>
    <row r="8" spans="1:18" hidden="1" x14ac:dyDescent="0.3">
      <c r="B8" s="47">
        <v>46023</v>
      </c>
      <c r="C8" s="47">
        <f>EOMONTH(B8,0+1)</f>
        <v>46081</v>
      </c>
      <c r="D8" s="47">
        <f t="shared" ref="D8" si="13">EOMONTH(C8,0+1)</f>
        <v>46112</v>
      </c>
      <c r="E8" s="47">
        <f t="shared" ref="E8" si="14">EOMONTH(D8,0+1)</f>
        <v>46142</v>
      </c>
      <c r="F8" s="47">
        <f t="shared" ref="F8" si="15">EOMONTH(E8,0+1)</f>
        <v>46173</v>
      </c>
      <c r="G8" s="47">
        <f t="shared" ref="G8" si="16">EOMONTH(F8,0+1)</f>
        <v>46203</v>
      </c>
      <c r="H8" s="47">
        <f t="shared" ref="H8" si="17">EOMONTH(G8,0+1)</f>
        <v>46234</v>
      </c>
      <c r="I8" s="47">
        <f t="shared" ref="I8" si="18">EOMONTH(H8,0+1)</f>
        <v>46265</v>
      </c>
      <c r="J8" s="47">
        <f t="shared" ref="J8" si="19">EOMONTH(I8,0+1)</f>
        <v>46295</v>
      </c>
      <c r="K8" s="47">
        <f t="shared" ref="K8" si="20">EOMONTH(J8,0+1)</f>
        <v>46326</v>
      </c>
      <c r="L8" s="47">
        <f t="shared" ref="L8" si="21">EOMONTH(K8,0+1)</f>
        <v>46356</v>
      </c>
      <c r="M8" s="47">
        <f t="shared" ref="M8" si="22">EOMONTH(L8,0+1)</f>
        <v>46387</v>
      </c>
      <c r="N8" s="47"/>
      <c r="O8" s="47"/>
    </row>
    <row r="9" spans="1:18" hidden="1" x14ac:dyDescent="0.3">
      <c r="B9" s="47" t="str">
        <f>TEXT(B8,"mmaaaa")</f>
        <v>012026</v>
      </c>
      <c r="C9" s="47" t="str">
        <f t="shared" ref="C9:M9" si="23">TEXT(C8,"mmaaaa")</f>
        <v>022026</v>
      </c>
      <c r="D9" s="47" t="str">
        <f t="shared" si="23"/>
        <v>032026</v>
      </c>
      <c r="E9" s="47" t="str">
        <f t="shared" si="23"/>
        <v>042026</v>
      </c>
      <c r="F9" s="47" t="str">
        <f t="shared" si="23"/>
        <v>052026</v>
      </c>
      <c r="G9" s="47" t="str">
        <f>TEXT(G8,"mmaaaa")</f>
        <v>062026</v>
      </c>
      <c r="H9" s="47" t="str">
        <f t="shared" ref="H9:M9" si="24">TEXT(H8,"mmaaaa")</f>
        <v>072026</v>
      </c>
      <c r="I9" s="47" t="str">
        <f t="shared" si="24"/>
        <v>082026</v>
      </c>
      <c r="J9" s="47" t="str">
        <f t="shared" si="24"/>
        <v>092026</v>
      </c>
      <c r="K9" s="47" t="str">
        <f t="shared" si="24"/>
        <v>102026</v>
      </c>
      <c r="L9" s="47" t="str">
        <f t="shared" si="24"/>
        <v>112026</v>
      </c>
      <c r="M9" s="47" t="str">
        <f t="shared" si="24"/>
        <v>122026</v>
      </c>
      <c r="N9" s="47"/>
      <c r="O9" s="47"/>
    </row>
    <row r="10" spans="1:18" ht="15" thickBot="1" x14ac:dyDescent="0.35">
      <c r="A10" s="50" t="s">
        <v>64</v>
      </c>
      <c r="B10" s="51" t="str">
        <f>PROPER(TEXT(B5,"mmm"))</f>
        <v>Jan</v>
      </c>
      <c r="C10" s="51" t="str">
        <f t="shared" ref="C10:M10" si="25">PROPER(TEXT(C5,"mmm"))</f>
        <v>Fev</v>
      </c>
      <c r="D10" s="51" t="str">
        <f t="shared" si="25"/>
        <v>Mar</v>
      </c>
      <c r="E10" s="51" t="str">
        <f t="shared" si="25"/>
        <v>Abr</v>
      </c>
      <c r="F10" s="51" t="str">
        <f t="shared" si="25"/>
        <v>Mai</v>
      </c>
      <c r="G10" s="51" t="str">
        <f t="shared" si="25"/>
        <v>Jun</v>
      </c>
      <c r="H10" s="51" t="str">
        <f t="shared" si="25"/>
        <v>Jul</v>
      </c>
      <c r="I10" s="51" t="str">
        <f t="shared" si="25"/>
        <v>Ago</v>
      </c>
      <c r="J10" s="51" t="str">
        <f t="shared" si="25"/>
        <v>Set</v>
      </c>
      <c r="K10" s="51" t="str">
        <f t="shared" si="25"/>
        <v>Out</v>
      </c>
      <c r="L10" s="51" t="str">
        <f t="shared" si="25"/>
        <v>Nov</v>
      </c>
      <c r="M10" s="51" t="str">
        <f t="shared" si="25"/>
        <v>Dez</v>
      </c>
      <c r="N10" s="51" t="s">
        <v>68</v>
      </c>
      <c r="O10" s="48"/>
    </row>
    <row r="11" spans="1:18" x14ac:dyDescent="0.3">
      <c r="A11" t="s">
        <v>83</v>
      </c>
      <c r="B11" s="49">
        <f>_xlfn.XLOOKUP(B9,Historico_Cota!$I:$I,Historico_Cota!$J:$J,"-",,-1)</f>
        <v>8.0273778113120642E-2</v>
      </c>
      <c r="C11" s="49">
        <f>_xlfn.XLOOKUP(C9,Historico_Cota!$I:$I,Historico_Cota!$J:$J,"-",,-1)</f>
        <v>4.2696052634094706E-2</v>
      </c>
      <c r="D11" s="49">
        <f>_xlfn.XLOOKUP(D9,Historico_Cota!$I:$I,Historico_Cota!$J:$J,"-",,-1)</f>
        <v>-2.3829707752777929E-2</v>
      </c>
      <c r="E11" s="49" t="str">
        <f>_xlfn.XLOOKUP(E9,Historico_Cota!$I:$I,Historico_Cota!$J:$J,"-",,-1)</f>
        <v>-</v>
      </c>
      <c r="F11" s="49" t="str">
        <f>_xlfn.XLOOKUP(F9,Historico_Cota!$I:$I,Historico_Cota!$J:$J,"-",,-1)</f>
        <v>-</v>
      </c>
      <c r="G11" s="49" t="str">
        <f>_xlfn.XLOOKUP(G9,Historico_Cota!$I:$I,Historico_Cota!$J:$J,"-",,-1)</f>
        <v>-</v>
      </c>
      <c r="H11" s="49" t="str">
        <f>_xlfn.XLOOKUP(H9,Historico_Cota!$I:$I,Historico_Cota!$J:$J,"-",,-1)</f>
        <v>-</v>
      </c>
      <c r="I11" s="49" t="str">
        <f>_xlfn.XLOOKUP(I9,Historico_Cota!$I:$I,Historico_Cota!$J:$J,"-",,-1)</f>
        <v>-</v>
      </c>
      <c r="J11" s="49" t="str">
        <f>_xlfn.XLOOKUP(J9,Historico_Cota!$I:$I,Historico_Cota!$J:$J,"-",,-1)</f>
        <v>-</v>
      </c>
      <c r="K11" s="49" t="str">
        <f>_xlfn.XLOOKUP(K9,Historico_Cota!$I:$I,Historico_Cota!$J:$J,"-",,-1)</f>
        <v>-</v>
      </c>
      <c r="L11" s="49" t="str">
        <f>_xlfn.XLOOKUP(L9,Historico_Cota!$I:$I,Historico_Cota!$J:$J,"-",,-1)</f>
        <v>-</v>
      </c>
      <c r="M11" s="49" t="str">
        <f>_xlfn.XLOOKUP(M9,Historico_Cota!$I:$I,Historico_Cota!$J:$J,"-",,-1)</f>
        <v>-</v>
      </c>
      <c r="N11" s="49" cm="1">
        <f t="array" ref="N11">EXP(SUM(LN(1+_xlfn._xlws.FILTER(B11:M11,B11:M11&lt;&gt;"-"))))-1</f>
        <v>9.955548801297498E-2</v>
      </c>
      <c r="O11" s="1"/>
      <c r="R11" s="3"/>
    </row>
    <row r="12" spans="1:18" x14ac:dyDescent="0.3">
      <c r="A12" t="s">
        <v>84</v>
      </c>
      <c r="B12" s="49">
        <f>_xlfn.XLOOKUP(B9,Historico_Cota!$I:$I,Historico_Cota!$K:$K,"-",,-1)</f>
        <v>0.12560734538577023</v>
      </c>
      <c r="C12" s="49">
        <f>_xlfn.XLOOKUP(C9,Historico_Cota!$I:$I,Historico_Cota!$K:$K,"-",,-1)</f>
        <v>4.0929203661808522E-2</v>
      </c>
      <c r="D12" s="49">
        <f>_xlfn.XLOOKUP(D9,Historico_Cota!$I:$I,Historico_Cota!$K:$K,"-",,-1)</f>
        <v>-3.6311031618811995E-2</v>
      </c>
      <c r="E12" s="49" t="str">
        <f>_xlfn.XLOOKUP(E9,Historico_Cota!$I:$I,Historico_Cota!$K:$K,"-",,-1)</f>
        <v>-</v>
      </c>
      <c r="F12" s="49" t="str">
        <f>_xlfn.XLOOKUP(F9,Historico_Cota!$I:$I,Historico_Cota!$K:$K,"-",,-1)</f>
        <v>-</v>
      </c>
      <c r="G12" s="49" t="str">
        <f>_xlfn.XLOOKUP(G9,Historico_Cota!$I:$I,Historico_Cota!$K:$K,"-",,-1)</f>
        <v>-</v>
      </c>
      <c r="H12" s="49" t="str">
        <f>_xlfn.XLOOKUP(H9,Historico_Cota!$I:$I,Historico_Cota!$K:$K,"-",,-1)</f>
        <v>-</v>
      </c>
      <c r="I12" s="49" t="str">
        <f>_xlfn.XLOOKUP(I9,Historico_Cota!$I:$I,Historico_Cota!$K:$K,"-",,-1)</f>
        <v>-</v>
      </c>
      <c r="J12" s="49" t="str">
        <f>_xlfn.XLOOKUP(J9,Historico_Cota!$I:$I,Historico_Cota!$K:$K,"-",,-1)</f>
        <v>-</v>
      </c>
      <c r="K12" s="49" t="str">
        <f>_xlfn.XLOOKUP(K9,Historico_Cota!$I:$I,Historico_Cota!$K:$K,"-",,-1)</f>
        <v>-</v>
      </c>
      <c r="L12" s="49" t="str">
        <f>_xlfn.XLOOKUP(L9,Historico_Cota!$I:$I,Historico_Cota!$K:$K,"-",,-1)</f>
        <v>-</v>
      </c>
      <c r="M12" s="49" t="str">
        <f>_xlfn.XLOOKUP(M9,Historico_Cota!$I:$I,Historico_Cota!$K:$K,"-",,-1)</f>
        <v>-</v>
      </c>
      <c r="N12" s="49" cm="1">
        <f t="array" ref="N12">EXP(SUM(LN(1+_xlfn._xlws.FILTER(B12:M12,B12:M12&lt;&gt;"-"))))-1</f>
        <v>0.12913273682474635</v>
      </c>
      <c r="O12" s="1"/>
      <c r="P12" s="1"/>
    </row>
    <row r="13" spans="1:18" x14ac:dyDescent="0.3">
      <c r="A13" t="s">
        <v>67</v>
      </c>
      <c r="B13" s="49">
        <f t="shared" ref="B13:N13" si="26">IFERROR((1+B11)/(1+B12),"-")</f>
        <v>0.95972523859364756</v>
      </c>
      <c r="C13" s="49">
        <f t="shared" si="26"/>
        <v>1.0016973766958124</v>
      </c>
      <c r="D13" s="49">
        <f t="shared" si="26"/>
        <v>1.0129516101932767</v>
      </c>
      <c r="E13" s="49" t="str">
        <f t="shared" si="26"/>
        <v>-</v>
      </c>
      <c r="F13" s="49" t="str">
        <f t="shared" si="26"/>
        <v>-</v>
      </c>
      <c r="G13" s="49" t="str">
        <f t="shared" si="26"/>
        <v>-</v>
      </c>
      <c r="H13" s="49" t="str">
        <f t="shared" si="26"/>
        <v>-</v>
      </c>
      <c r="I13" s="49" t="str">
        <f t="shared" si="26"/>
        <v>-</v>
      </c>
      <c r="J13" s="49" t="str">
        <f t="shared" si="26"/>
        <v>-</v>
      </c>
      <c r="K13" s="49" t="str">
        <f t="shared" si="26"/>
        <v>-</v>
      </c>
      <c r="L13" s="49" t="str">
        <f t="shared" si="26"/>
        <v>-</v>
      </c>
      <c r="M13" s="49" t="str">
        <f t="shared" si="26"/>
        <v>-</v>
      </c>
      <c r="N13" s="49">
        <f>IFERROR((1+N11)/(1+N12),"-")</f>
        <v>0.97380533940150737</v>
      </c>
      <c r="O13" s="49"/>
      <c r="P13" s="64"/>
    </row>
    <row r="14" spans="1:18" x14ac:dyDescent="0.3">
      <c r="A14" t="s">
        <v>65</v>
      </c>
      <c r="B14" s="49">
        <f>_xlfn.XLOOKUP(B6,Historico_Cota!$I:$I,Historico_Cota!$J:$J,"-",,-1)</f>
        <v>3.5139949788214997E-2</v>
      </c>
      <c r="C14" s="49">
        <f>_xlfn.XLOOKUP(C6,Historico_Cota!$I:$I,Historico_Cota!$J:$J,"-",,-1)</f>
        <v>-2.978585226422914E-3</v>
      </c>
      <c r="D14" s="49">
        <f>_xlfn.XLOOKUP(D6,Historico_Cota!$I:$I,Historico_Cota!$J:$J,"-",,-1)</f>
        <v>2.1304704956546461E-2</v>
      </c>
      <c r="E14" s="49">
        <f>_xlfn.XLOOKUP(E6,Historico_Cota!$I:$I,Historico_Cota!$J:$J,"-",,-1)</f>
        <v>1.3270379410804889E-2</v>
      </c>
      <c r="F14" s="91">
        <f>_xlfn.XLOOKUP(F6,Historico_Cota!$I:$I,Historico_Cota!$J:$J,"-",,-1)</f>
        <v>-1.2932840812276414E-3</v>
      </c>
      <c r="G14" s="49">
        <f>_xlfn.XLOOKUP(G6,Historico_Cota!$I:$I,Historico_Cota!$J:$J,"-",,-1)</f>
        <v>1.7282420517038544E-2</v>
      </c>
      <c r="H14" s="49">
        <f>_xlfn.XLOOKUP(H6,Historico_Cota!$I:$I,Historico_Cota!$J:$J,"-",,-1)</f>
        <v>-4.3065350875035935E-2</v>
      </c>
      <c r="I14" s="49">
        <f>_xlfn.XLOOKUP(I6,Historico_Cota!$I:$I,Historico_Cota!$J:$J,"-",,-1)</f>
        <v>4.5104333006956709E-2</v>
      </c>
      <c r="J14" s="49">
        <f>_xlfn.XLOOKUP(J6,Historico_Cota!$I:$I,Historico_Cota!$J:$J,"-",,-1)</f>
        <v>2.7755928941699759E-2</v>
      </c>
      <c r="K14" s="49">
        <f>_xlfn.XLOOKUP(K6,Historico_Cota!$I:$I,Historico_Cota!$J:$J,"-",,-1)</f>
        <v>2.4443158086339123E-2</v>
      </c>
      <c r="L14" s="49">
        <f>_xlfn.XLOOKUP(L6,Historico_Cota!$I:$I,Historico_Cota!$J:$J,"-",,-1)</f>
        <v>5.3046102725266664E-2</v>
      </c>
      <c r="M14" s="49">
        <f>_xlfn.XLOOKUP(M6,Historico_Cota!$I:$I,Historico_Cota!$J:$J,"-",,-1)</f>
        <v>3.3009211320862208E-2</v>
      </c>
      <c r="N14" s="49" cm="1">
        <f t="array" ref="N14">EXP(SUM(LN(1+_xlfn._xlws.FILTER(B14:M14,B14:M14&lt;&gt;"-"))))-1</f>
        <v>0.24289691763666688</v>
      </c>
      <c r="O14" s="1"/>
      <c r="R14" s="3"/>
    </row>
    <row r="15" spans="1:18" x14ac:dyDescent="0.3">
      <c r="A15" t="s">
        <v>66</v>
      </c>
      <c r="B15" s="49">
        <f>_xlfn.XLOOKUP(B6,Historico_Cota!$I:$I,Historico_Cota!$K:$K,"-",,-1)</f>
        <v>4.8651929200302479E-2</v>
      </c>
      <c r="C15" s="49">
        <f>_xlfn.XLOOKUP(C6,Historico_Cota!$I:$I,Historico_Cota!$K:$K,"-",,-1)</f>
        <v>-2.6447853490308093E-2</v>
      </c>
      <c r="D15" s="49">
        <f>_xlfn.XLOOKUP(D6,Historico_Cota!$I:$I,Historico_Cota!$K:$K,"-",,-1)</f>
        <v>6.0757823760780649E-2</v>
      </c>
      <c r="E15" s="49">
        <f>_xlfn.XLOOKUP(E6,Historico_Cota!$I:$I,Historico_Cota!$K:$K,"-",,-1)</f>
        <v>3.6903116843236328E-2</v>
      </c>
      <c r="F15" s="49">
        <f>_xlfn.XLOOKUP(F6,Historico_Cota!$I:$I,Historico_Cota!$K:$K,"-",,-1)</f>
        <v>1.4511316605832159E-2</v>
      </c>
      <c r="G15" s="49">
        <f>_xlfn.XLOOKUP(G6,Historico_Cota!$I:$I,Historico_Cota!$K:$K,"-",,-1)</f>
        <v>1.3340436556299462E-2</v>
      </c>
      <c r="H15" s="49">
        <f>_xlfn.XLOOKUP(H6,Historico_Cota!$I:$I,Historico_Cota!$K:$K,"-",,-1)</f>
        <v>-4.1654603723308647E-2</v>
      </c>
      <c r="I15" s="49">
        <f>_xlfn.XLOOKUP(I6,Historico_Cota!$I:$I,Historico_Cota!$K:$K,"-",,-1)</f>
        <v>6.2757526900103944E-2</v>
      </c>
      <c r="J15" s="49">
        <f>_xlfn.XLOOKUP(J6,Historico_Cota!$I:$I,Historico_Cota!$K:$K,"-",,-1)</f>
        <v>3.4045276889225207E-2</v>
      </c>
      <c r="K15" s="49">
        <f>_xlfn.XLOOKUP(K6,Historico_Cota!$I:$I,Historico_Cota!$K:$K,"-",,-1)</f>
        <v>2.2589423663037289E-2</v>
      </c>
      <c r="L15" s="49">
        <f>_xlfn.XLOOKUP(L6,Historico_Cota!$I:$I,Historico_Cota!$K:$K,"-",,-1)</f>
        <v>6.3739953135081961E-2</v>
      </c>
      <c r="M15" s="49">
        <f>_xlfn.XLOOKUP(M6,Historico_Cota!$I:$I,Historico_Cota!$K:$K,"-",,-1)</f>
        <v>1.2907603613529828E-2</v>
      </c>
      <c r="N15" s="49" cm="1">
        <f t="array" ref="N15">EXP(SUM(LN(1+_xlfn._xlws.FILTER(B15:M15,B15:M15&lt;&gt;"-"))))-1</f>
        <v>0.33955230581212681</v>
      </c>
      <c r="O15" s="1"/>
      <c r="P15" s="1"/>
    </row>
    <row r="16" spans="1:18" x14ac:dyDescent="0.3">
      <c r="A16" t="s">
        <v>67</v>
      </c>
      <c r="B16" s="49">
        <f t="shared" ref="B16:N16" si="27">IFERROR((1+B14)/(1+B15),"-")</f>
        <v>0.98711490530285706</v>
      </c>
      <c r="C16" s="49">
        <f t="shared" si="27"/>
        <v>1.0241068425025053</v>
      </c>
      <c r="D16" s="49">
        <f t="shared" si="27"/>
        <v>0.96280666715767582</v>
      </c>
      <c r="E16" s="49">
        <f t="shared" si="27"/>
        <v>0.97720834565105819</v>
      </c>
      <c r="F16" s="49">
        <f t="shared" si="27"/>
        <v>0.98442146437564049</v>
      </c>
      <c r="G16" s="49">
        <f t="shared" si="27"/>
        <v>1.0038900884821447</v>
      </c>
      <c r="H16" s="49">
        <f t="shared" si="27"/>
        <v>0.99852793454509381</v>
      </c>
      <c r="I16" s="49">
        <f t="shared" si="27"/>
        <v>0.983389255360403</v>
      </c>
      <c r="J16" s="49">
        <f t="shared" si="27"/>
        <v>0.99391772479591411</v>
      </c>
      <c r="K16" s="49">
        <f t="shared" si="27"/>
        <v>1.0018127846625497</v>
      </c>
      <c r="L16" s="49">
        <f t="shared" si="27"/>
        <v>0.98994693169294046</v>
      </c>
      <c r="M16" s="49">
        <f t="shared" si="27"/>
        <v>1.0198454504987624</v>
      </c>
      <c r="N16" s="49">
        <f t="shared" si="27"/>
        <v>0.92784500630838684</v>
      </c>
      <c r="O16" s="49"/>
      <c r="P16" s="64"/>
    </row>
    <row r="17" spans="1:19" x14ac:dyDescent="0.3">
      <c r="A17" t="s">
        <v>70</v>
      </c>
      <c r="B17" s="49" t="str">
        <f>_xlfn.XLOOKUP(B3,Historico_Cota!$I:$I,Historico_Cota!$J:$J,"-",,-1)</f>
        <v>-</v>
      </c>
      <c r="C17" s="49">
        <f>_xlfn.XLOOKUP(C3,Historico_Cota!$I:$I,Historico_Cota!$J:$J,"-",,-1)</f>
        <v>1.43954607997554E-2</v>
      </c>
      <c r="D17" s="49">
        <f>_xlfn.XLOOKUP(D3,Historico_Cota!$I:$I,Historico_Cota!$J:$J,"-",,-1)</f>
        <v>-1.1765047629155645E-2</v>
      </c>
      <c r="E17" s="49">
        <f>_xlfn.XLOOKUP(E3,Historico_Cota!$I:$I,Historico_Cota!$J:$J,"-",,-1)</f>
        <v>-3.1615860607710378E-2</v>
      </c>
      <c r="F17" s="49">
        <f>_xlfn.XLOOKUP(F3,Historico_Cota!$I:$I,Historico_Cota!$J:$J,"-",,-1)</f>
        <v>-2.3466202999338437E-2</v>
      </c>
      <c r="G17" s="49">
        <f>_xlfn.XLOOKUP(G3,Historico_Cota!$I:$I,Historico_Cota!$J:$J,"-",,-1)</f>
        <v>5.9574784094842403E-3</v>
      </c>
      <c r="H17" s="49">
        <f>_xlfn.XLOOKUP(H3,Historico_Cota!$I:$I,Historico_Cota!$J:$J,"-",,-1)</f>
        <v>4.2014472859892349E-2</v>
      </c>
      <c r="I17" s="49">
        <f>_xlfn.XLOOKUP(I3,Historico_Cota!$I:$I,Historico_Cota!$J:$J,"-",,-1)</f>
        <v>4.0594101373254476E-2</v>
      </c>
      <c r="J17" s="49">
        <f>_xlfn.XLOOKUP(J3,Historico_Cota!$I:$I,Historico_Cota!$J:$J,"-",,-1)</f>
        <v>-2.7141260856679006E-2</v>
      </c>
      <c r="K17" s="49">
        <f>_xlfn.XLOOKUP(K3,Historico_Cota!$I:$I,Historico_Cota!$J:$J,"-",,-1)</f>
        <v>-2.6522576798448494E-2</v>
      </c>
      <c r="L17" s="49">
        <f>_xlfn.XLOOKUP(L3,Historico_Cota!$I:$I,Historico_Cota!$J:$J,"-",,-1)</f>
        <v>-2.4490469872900489E-2</v>
      </c>
      <c r="M17" s="49">
        <f>_xlfn.XLOOKUP(M3,Historico_Cota!$I:$I,Historico_Cota!$J:$J,"-",,-1)</f>
        <v>-1.1377039424779634E-2</v>
      </c>
      <c r="N17" s="49" cm="1">
        <f t="array" ref="N17">EXP(SUM(LN(1+_xlfn._xlws.FILTER(B17:M17,B17:M17&lt;&gt;"-"))))-1</f>
        <v>-5.5558493075244741E-2</v>
      </c>
      <c r="O17" s="1"/>
    </row>
    <row r="18" spans="1:19" x14ac:dyDescent="0.3">
      <c r="A18" t="s">
        <v>71</v>
      </c>
      <c r="B18" s="49" t="str">
        <f>_xlfn.XLOOKUP(B3,Historico_Cota!$I:$I,Historico_Cota!$K:$K,"-",,-1)</f>
        <v>-</v>
      </c>
      <c r="C18" s="49">
        <f>_xlfn.XLOOKUP(C3,Historico_Cota!$I:$I,Historico_Cota!$K:$K,"-",,-1)</f>
        <v>1.1180272598547258E-2</v>
      </c>
      <c r="D18" s="49">
        <f>_xlfn.XLOOKUP(D3,Historico_Cota!$I:$I,Historico_Cota!$K:$K,"-",,-1)</f>
        <v>-7.0835518394741781E-3</v>
      </c>
      <c r="E18" s="49">
        <f>_xlfn.XLOOKUP(E3,Historico_Cota!$I:$I,Historico_Cota!$K:$K,"-",,-1)</f>
        <v>-1.7032053899072475E-2</v>
      </c>
      <c r="F18" s="49">
        <f>_xlfn.XLOOKUP(F3,Historico_Cota!$I:$I,Historico_Cota!$K:$K,"-",,-1)</f>
        <v>-3.0384154148618947E-2</v>
      </c>
      <c r="G18" s="49">
        <f>_xlfn.XLOOKUP(G3,Historico_Cota!$I:$I,Historico_Cota!$K:$K,"-",,-1)</f>
        <v>1.4811533906877949E-2</v>
      </c>
      <c r="H18" s="49">
        <f>_xlfn.XLOOKUP(H3,Historico_Cota!$I:$I,Historico_Cota!$K:$K,"-",,-1)</f>
        <v>3.0226489237251686E-2</v>
      </c>
      <c r="I18" s="49">
        <f>_xlfn.XLOOKUP(I3,Historico_Cota!$I:$I,Historico_Cota!$K:$K,"-",,-1)</f>
        <v>6.5429546200715727E-2</v>
      </c>
      <c r="J18" s="49">
        <f>_xlfn.XLOOKUP(J3,Historico_Cota!$I:$I,Historico_Cota!$K:$K,"-",,-1)</f>
        <v>-3.0790048028730754E-2</v>
      </c>
      <c r="K18" s="49">
        <f>_xlfn.XLOOKUP(K3,Historico_Cota!$I:$I,Historico_Cota!$K:$K,"-",,-1)</f>
        <v>-1.5954838410140781E-2</v>
      </c>
      <c r="L18" s="49">
        <f>_xlfn.XLOOKUP(L3,Historico_Cota!$I:$I,Historico_Cota!$K:$K,"-",,-1)</f>
        <v>-3.1188005118672035E-2</v>
      </c>
      <c r="M18" s="49">
        <f>_xlfn.XLOOKUP(M3,Historico_Cota!$I:$I,Historico_Cota!$K:$K,"-",,-1)</f>
        <v>-4.2849709428419147E-2</v>
      </c>
      <c r="N18" s="49" cm="1">
        <f t="array" ref="N18">EXP(SUM(LN(1+_xlfn._xlws.FILTER(B18:M18,B18:M18&lt;&gt;"-"))))-1</f>
        <v>-5.7295164510351437E-2</v>
      </c>
      <c r="O18" s="1"/>
    </row>
    <row r="19" spans="1:19" x14ac:dyDescent="0.3">
      <c r="A19" t="s">
        <v>67</v>
      </c>
      <c r="B19" s="49" t="str">
        <f t="shared" ref="B19:N19" si="28">IFERROR((1+B17)/(1+B18),"-")</f>
        <v>-</v>
      </c>
      <c r="C19" s="49">
        <f t="shared" si="28"/>
        <v>1.0031796389707501</v>
      </c>
      <c r="D19" s="49">
        <f t="shared" si="28"/>
        <v>0.9952851060143536</v>
      </c>
      <c r="E19" s="49">
        <f t="shared" si="28"/>
        <v>0.98516349717558294</v>
      </c>
      <c r="F19" s="49">
        <f t="shared" si="28"/>
        <v>1.0071347340071635</v>
      </c>
      <c r="G19" s="49">
        <f t="shared" si="28"/>
        <v>0.9912751725797726</v>
      </c>
      <c r="H19" s="49">
        <f t="shared" si="28"/>
        <v>1.0114421282560577</v>
      </c>
      <c r="I19" s="49">
        <f t="shared" si="28"/>
        <v>0.9766897352189795</v>
      </c>
      <c r="J19" s="49">
        <f t="shared" si="28"/>
        <v>1.0037647025442016</v>
      </c>
      <c r="K19" s="49">
        <f t="shared" si="28"/>
        <v>0.98926092134711163</v>
      </c>
      <c r="L19" s="49">
        <f t="shared" si="28"/>
        <v>1.0069131423652449</v>
      </c>
      <c r="M19" s="49">
        <f t="shared" si="28"/>
        <v>1.0328816386660082</v>
      </c>
      <c r="N19" s="49">
        <f t="shared" si="28"/>
        <v>1.0018422218384024</v>
      </c>
      <c r="O19" s="1"/>
      <c r="P19" s="64"/>
    </row>
    <row r="20" spans="1:19" x14ac:dyDescent="0.3">
      <c r="B20" s="1"/>
      <c r="C20" s="1"/>
      <c r="D20" s="1"/>
    </row>
    <row r="21" spans="1:19" x14ac:dyDescent="0.3">
      <c r="D21" s="1"/>
    </row>
    <row r="27" spans="1:19" x14ac:dyDescent="0.3">
      <c r="D27" s="49"/>
      <c r="E27" s="49"/>
      <c r="F27" s="49"/>
      <c r="G27" s="49"/>
      <c r="H27" s="9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D28" s="1"/>
    </row>
    <row r="29" spans="1:19" x14ac:dyDescent="0.3">
      <c r="D29" s="1"/>
    </row>
    <row r="30" spans="1:19" x14ac:dyDescent="0.3">
      <c r="D30" s="1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E5C71-1434-4F31-9D11-DB10380ACD99}">
  <dimension ref="A1:O27"/>
  <sheetViews>
    <sheetView workbookViewId="0">
      <selection activeCell="E4" sqref="E4"/>
    </sheetView>
  </sheetViews>
  <sheetFormatPr defaultColWidth="8.88671875" defaultRowHeight="14.4" x14ac:dyDescent="0.3"/>
  <sheetData>
    <row r="1" spans="1:1" x14ac:dyDescent="0.3">
      <c r="A1" t="s">
        <v>69</v>
      </c>
    </row>
    <row r="2" spans="1:1" x14ac:dyDescent="0.3">
      <c r="A2" s="1">
        <v>0.14749999999999999</v>
      </c>
    </row>
    <row r="24" spans="12:15" x14ac:dyDescent="0.3">
      <c r="L24" s="3"/>
      <c r="M24" s="3"/>
    </row>
    <row r="25" spans="12:15" x14ac:dyDescent="0.3">
      <c r="L25" s="3"/>
      <c r="M25" s="3"/>
    </row>
    <row r="26" spans="12:15" x14ac:dyDescent="0.3">
      <c r="L26" s="3"/>
      <c r="M26" s="3"/>
    </row>
    <row r="27" spans="12:15" x14ac:dyDescent="0.3">
      <c r="L27" s="3"/>
      <c r="M27" s="3"/>
      <c r="N27" s="3"/>
      <c r="O27" s="1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B42C-3F61-4C41-BD0C-574980AB3ECA}">
  <dimension ref="A1:D15"/>
  <sheetViews>
    <sheetView workbookViewId="0">
      <selection activeCell="B18" sqref="B18:B19"/>
    </sheetView>
  </sheetViews>
  <sheetFormatPr defaultColWidth="8.88671875" defaultRowHeight="14.4" x14ac:dyDescent="0.3"/>
  <cols>
    <col min="2" max="2" width="36.88671875" bestFit="1" customWidth="1"/>
    <col min="3" max="3" width="29" bestFit="1" customWidth="1"/>
    <col min="4" max="4" width="35.44140625" bestFit="1" customWidth="1"/>
  </cols>
  <sheetData>
    <row r="1" spans="1:4" x14ac:dyDescent="0.3">
      <c r="A1" t="s">
        <v>34</v>
      </c>
      <c r="B1" t="s">
        <v>35</v>
      </c>
      <c r="C1" t="s">
        <v>21</v>
      </c>
      <c r="D1" t="s">
        <v>36</v>
      </c>
    </row>
    <row r="2" spans="1:4" x14ac:dyDescent="0.3">
      <c r="A2" t="s">
        <v>24</v>
      </c>
      <c r="B2" t="s">
        <v>37</v>
      </c>
      <c r="C2" t="s">
        <v>38</v>
      </c>
      <c r="D2" t="s">
        <v>39</v>
      </c>
    </row>
    <row r="3" spans="1:4" x14ac:dyDescent="0.3">
      <c r="A3" t="s">
        <v>25</v>
      </c>
      <c r="B3" t="s">
        <v>40</v>
      </c>
      <c r="C3" t="s">
        <v>41</v>
      </c>
      <c r="D3" t="s">
        <v>42</v>
      </c>
    </row>
    <row r="4" spans="1:4" x14ac:dyDescent="0.3">
      <c r="A4" t="s">
        <v>26</v>
      </c>
      <c r="B4" t="s">
        <v>43</v>
      </c>
      <c r="C4" t="s">
        <v>38</v>
      </c>
      <c r="D4" t="s">
        <v>39</v>
      </c>
    </row>
    <row r="5" spans="1:4" x14ac:dyDescent="0.3">
      <c r="A5" t="s">
        <v>27</v>
      </c>
      <c r="B5" t="s">
        <v>44</v>
      </c>
      <c r="C5" t="s">
        <v>45</v>
      </c>
      <c r="D5" t="s">
        <v>45</v>
      </c>
    </row>
    <row r="6" spans="1:4" x14ac:dyDescent="0.3">
      <c r="A6" t="s">
        <v>28</v>
      </c>
      <c r="B6" t="s">
        <v>46</v>
      </c>
      <c r="C6" t="s">
        <v>45</v>
      </c>
      <c r="D6" t="s">
        <v>45</v>
      </c>
    </row>
    <row r="7" spans="1:4" x14ac:dyDescent="0.3">
      <c r="A7" t="s">
        <v>29</v>
      </c>
      <c r="B7" t="s">
        <v>47</v>
      </c>
      <c r="C7" t="s">
        <v>48</v>
      </c>
      <c r="D7" t="s">
        <v>49</v>
      </c>
    </row>
    <row r="8" spans="1:4" x14ac:dyDescent="0.3">
      <c r="A8" t="s">
        <v>30</v>
      </c>
      <c r="B8" t="s">
        <v>50</v>
      </c>
      <c r="C8" t="s">
        <v>51</v>
      </c>
      <c r="D8" t="s">
        <v>52</v>
      </c>
    </row>
    <row r="9" spans="1:4" x14ac:dyDescent="0.3">
      <c r="A9" t="s">
        <v>31</v>
      </c>
      <c r="B9" t="s">
        <v>53</v>
      </c>
      <c r="C9" t="s">
        <v>48</v>
      </c>
      <c r="D9" t="s">
        <v>54</v>
      </c>
    </row>
    <row r="10" spans="1:4" x14ac:dyDescent="0.3">
      <c r="A10" t="s">
        <v>32</v>
      </c>
      <c r="B10" t="s">
        <v>55</v>
      </c>
      <c r="C10" t="s">
        <v>56</v>
      </c>
      <c r="D10" t="s">
        <v>57</v>
      </c>
    </row>
    <row r="11" spans="1:4" x14ac:dyDescent="0.3">
      <c r="A11" t="s">
        <v>22</v>
      </c>
      <c r="B11" t="s">
        <v>58</v>
      </c>
      <c r="C11" t="s">
        <v>23</v>
      </c>
      <c r="D11" t="s">
        <v>23</v>
      </c>
    </row>
    <row r="12" spans="1:4" x14ac:dyDescent="0.3">
      <c r="A12" t="s">
        <v>59</v>
      </c>
      <c r="B12" t="s">
        <v>60</v>
      </c>
      <c r="C12" t="s">
        <v>59</v>
      </c>
      <c r="D12" t="s">
        <v>59</v>
      </c>
    </row>
    <row r="13" spans="1:4" x14ac:dyDescent="0.3">
      <c r="A13" t="s">
        <v>79</v>
      </c>
      <c r="B13" t="s">
        <v>80</v>
      </c>
      <c r="C13" t="s">
        <v>45</v>
      </c>
      <c r="D13" t="s">
        <v>45</v>
      </c>
    </row>
    <row r="14" spans="1:4" x14ac:dyDescent="0.3">
      <c r="A14" t="s">
        <v>85</v>
      </c>
      <c r="B14" t="s">
        <v>86</v>
      </c>
      <c r="C14" t="s">
        <v>87</v>
      </c>
      <c r="D14" t="s">
        <v>88</v>
      </c>
    </row>
    <row r="15" spans="1:4" x14ac:dyDescent="0.3">
      <c r="A15" t="s">
        <v>89</v>
      </c>
      <c r="B15" t="s">
        <v>46</v>
      </c>
      <c r="C15" t="s">
        <v>45</v>
      </c>
      <c r="D15" t="s">
        <v>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Historico_Cota</vt:lpstr>
      <vt:lpstr>Historico_Cota_old</vt:lpstr>
      <vt:lpstr>Cotistas</vt:lpstr>
      <vt:lpstr>ID Cotistas</vt:lpstr>
      <vt:lpstr>Ativos</vt:lpstr>
      <vt:lpstr>Movimentos</vt:lpstr>
      <vt:lpstr>Rent_Mensal</vt:lpstr>
      <vt:lpstr>Selic</vt:lpstr>
      <vt:lpstr>Cadastro_Acoes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Bassi</dc:creator>
  <cp:lastModifiedBy>João Pedro Rezende Carpi</cp:lastModifiedBy>
  <dcterms:created xsi:type="dcterms:W3CDTF">2025-02-27T20:51:39Z</dcterms:created>
  <dcterms:modified xsi:type="dcterms:W3CDTF">2026-03-24T20:14:42Z</dcterms:modified>
</cp:coreProperties>
</file>